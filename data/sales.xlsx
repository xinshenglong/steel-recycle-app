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月" sheetId="1" r:id="rId1"/>
    <sheet name="2月" sheetId="2" r:id="rId2"/>
    <sheet name="3月" sheetId="3" r:id="rId3"/>
    <sheet name="4月" sheetId="4" r:id="rId4"/>
    <sheet name="5月" sheetId="8" r:id="rId5"/>
  </sheets>
  <definedNames>
    <definedName name="_xlnm._FilterDatabase" localSheetId="2" hidden="1">'3月'!$A$3:$S$10</definedName>
    <definedName name="_xlnm._FilterDatabase" localSheetId="3" hidden="1">'4月'!$A$3:$S$20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HS</author>
    <author>Administrator</author>
  </authors>
  <commentList>
    <comment ref="Q14" authorId="0">
      <text>
        <r>
          <rPr>
            <b/>
            <sz val="9"/>
            <rFont val="宋体"/>
            <charset val="134"/>
          </rPr>
          <t>HS:</t>
        </r>
        <r>
          <rPr>
            <sz val="9"/>
            <rFont val="宋体"/>
            <charset val="134"/>
          </rPr>
          <t xml:space="preserve">
扣3月下旬一单一议特压欠量4200元</t>
        </r>
      </text>
    </comment>
    <comment ref="A17" authorId="1">
      <text>
        <r>
          <rPr>
            <b/>
            <sz val="12"/>
            <rFont val="宋体"/>
            <charset val="134"/>
          </rPr>
          <t xml:space="preserve">Administrator:
</t>
        </r>
        <r>
          <rPr>
            <sz val="12"/>
            <rFont val="宋体"/>
            <charset val="134"/>
          </rPr>
          <t>分两趟运输</t>
        </r>
      </text>
    </comment>
  </commentList>
</comments>
</file>

<file path=xl/sharedStrings.xml><?xml version="1.0" encoding="utf-8"?>
<sst xmlns="http://schemas.openxmlformats.org/spreadsheetml/2006/main" count="265" uniqueCount="80">
  <si>
    <t>鑫胜隆1月废钢出库台账（信阳基地）</t>
  </si>
  <si>
    <t>出货日期</t>
  </si>
  <si>
    <t>基地</t>
  </si>
  <si>
    <t>收货单位</t>
  </si>
  <si>
    <t>车牌号</t>
  </si>
  <si>
    <t>车皮号</t>
  </si>
  <si>
    <t>货物名称</t>
  </si>
  <si>
    <t>出厂情况</t>
  </si>
  <si>
    <t>钢厂情况</t>
  </si>
  <si>
    <t>备注</t>
  </si>
  <si>
    <t>毛重</t>
  </si>
  <si>
    <t>皮重</t>
  </si>
  <si>
    <t>净重量</t>
  </si>
  <si>
    <t>单价</t>
  </si>
  <si>
    <t>金额</t>
  </si>
  <si>
    <t>磅差</t>
  </si>
  <si>
    <t>钢厂重量
（t）</t>
  </si>
  <si>
    <t>钢厂扣杂
（t）</t>
  </si>
  <si>
    <t>钢厂结算重量
（t）</t>
  </si>
  <si>
    <t>单价
(元/t）</t>
  </si>
  <si>
    <t>罚款
胶条/50元</t>
  </si>
  <si>
    <t>手续费/其他扣款/甩挂费
（元）</t>
  </si>
  <si>
    <t>销售金额
（元）</t>
  </si>
  <si>
    <t>运费单价</t>
  </si>
  <si>
    <t>运费金额</t>
  </si>
  <si>
    <t>信阳基地</t>
  </si>
  <si>
    <t>涟钢</t>
  </si>
  <si>
    <t>沪A16158A</t>
  </si>
  <si>
    <t>三级压块</t>
  </si>
  <si>
    <t>陈园园</t>
  </si>
  <si>
    <t>豫S191CU</t>
  </si>
  <si>
    <t>钢筋段</t>
  </si>
  <si>
    <t>抵信阳货款</t>
  </si>
  <si>
    <t>鑫胜隆2月废钢出库台账</t>
  </si>
  <si>
    <t>鑫胜隆3月废钢出库台账</t>
  </si>
  <si>
    <t>信阳车皮</t>
  </si>
  <si>
    <t>秦老板</t>
  </si>
  <si>
    <t>豫CS6715</t>
  </si>
  <si>
    <t>尾料</t>
  </si>
  <si>
    <t>刘建华</t>
  </si>
  <si>
    <t>豫A1659F</t>
  </si>
  <si>
    <t>破碎料</t>
  </si>
  <si>
    <t>豫SE2598</t>
  </si>
  <si>
    <t>C70E 1789219</t>
  </si>
  <si>
    <t>涟钢二级（小）</t>
  </si>
  <si>
    <t>122/吨</t>
  </si>
  <si>
    <t>江西九江九钢</t>
  </si>
  <si>
    <t>豫EY8327</t>
  </si>
  <si>
    <t>刘建华-湖北大冶</t>
  </si>
  <si>
    <t>豫SE6505</t>
  </si>
  <si>
    <t>新郑基地</t>
  </si>
  <si>
    <t>鑫泰钢-武钢</t>
  </si>
  <si>
    <t>三级原料</t>
  </si>
  <si>
    <t>豫A8260E</t>
  </si>
  <si>
    <t>鑫胜隆4月废钢出库台账</t>
  </si>
  <si>
    <t>销售到手金额
（元）</t>
  </si>
  <si>
    <t>退回</t>
  </si>
  <si>
    <t>南阳-小谢</t>
  </si>
  <si>
    <t>豫RG0783</t>
  </si>
  <si>
    <t>武钢-鑫泰钢</t>
  </si>
  <si>
    <t>四级料</t>
  </si>
  <si>
    <t>豫QG6102</t>
  </si>
  <si>
    <t>孝昌货场-鄂钢
（1-2mm以上）</t>
  </si>
  <si>
    <t>豫SE6505
（鄂K86646）</t>
  </si>
  <si>
    <t>一级炉料压块</t>
  </si>
  <si>
    <t>娄底-涟钢</t>
  </si>
  <si>
    <t>C70 1571106</t>
  </si>
  <si>
    <t>122+20</t>
  </si>
  <si>
    <t>湘钢-湘潭东</t>
  </si>
  <si>
    <t>C70EH 1522379</t>
  </si>
  <si>
    <t>二级压块</t>
  </si>
  <si>
    <t>C70E 1741304</t>
  </si>
  <si>
    <t>鑫胜隆5月废钢出库台账</t>
  </si>
  <si>
    <t>湘钢-郭建武</t>
  </si>
  <si>
    <t>湘钢二级</t>
  </si>
  <si>
    <t>湖北大冶-刘建华</t>
  </si>
  <si>
    <t>四级压块</t>
  </si>
  <si>
    <t>吴青甲-自提</t>
  </si>
  <si>
    <t>豫RUL673</t>
  </si>
  <si>
    <t>豫EC8918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</si>
</sst>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yyyy/m/d;@"/>
  </numFmts>
  <fonts count="47">
    <font>
      <sz val="11"/>
      <color theme="1"/>
      <name val="宋体"/>
      <charset val="134"/>
      <scheme val="minor"/>
    </font>
    <font>
      <sz val="16"/>
      <name val="宋体"/>
      <charset val="134"/>
      <scheme val="major"/>
    </font>
    <font>
      <b/>
      <sz val="16"/>
      <color rgb="FF000000"/>
      <name val="宋体"/>
      <charset val="134"/>
      <scheme val="major"/>
    </font>
    <font>
      <b/>
      <sz val="16"/>
      <color rgb="FFFF0000"/>
      <name val="宋体"/>
      <charset val="134"/>
      <scheme val="major"/>
    </font>
    <font>
      <b/>
      <sz val="16"/>
      <color theme="1"/>
      <name val="宋体"/>
      <charset val="134"/>
      <scheme val="major"/>
    </font>
    <font>
      <sz val="12"/>
      <name val="宋体"/>
      <charset val="134"/>
      <scheme val="maj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rgb="FF000000"/>
      <name val="宋体"/>
      <charset val="134"/>
      <scheme val="major"/>
    </font>
    <font>
      <sz val="16"/>
      <color theme="1"/>
      <name val="宋体"/>
      <charset val="134"/>
      <scheme val="major"/>
    </font>
    <font>
      <sz val="11"/>
      <name val="宋体"/>
      <charset val="134"/>
      <scheme val="maj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2"/>
      <color rgb="FF000000"/>
      <name val="宋体"/>
      <charset val="134"/>
      <scheme val="major"/>
    </font>
    <font>
      <b/>
      <sz val="22"/>
      <color rgb="FFFF0000"/>
      <name val="宋体"/>
      <charset val="134"/>
      <scheme val="major"/>
    </font>
    <font>
      <b/>
      <sz val="14"/>
      <color rgb="FF000000"/>
      <name val="宋体"/>
      <charset val="134"/>
      <scheme val="major"/>
    </font>
    <font>
      <b/>
      <sz val="14"/>
      <color rgb="FFFF0000"/>
      <name val="宋体"/>
      <charset val="134"/>
      <scheme val="major"/>
    </font>
    <font>
      <b/>
      <sz val="12"/>
      <color rgb="FF000000"/>
      <name val="宋体"/>
      <charset val="134"/>
      <scheme val="major"/>
    </font>
    <font>
      <b/>
      <sz val="12"/>
      <color theme="1"/>
      <name val="宋体"/>
      <charset val="134"/>
      <scheme val="major"/>
    </font>
    <font>
      <b/>
      <sz val="12"/>
      <color rgb="FFFF0000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rgb="FFFF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b/>
      <sz val="12"/>
      <name val="宋体"/>
      <charset val="134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5" borderId="16" applyNumberFormat="0" applyAlignment="0" applyProtection="0">
      <alignment vertical="center"/>
    </xf>
    <xf numFmtId="0" fontId="33" fillId="6" borderId="17" applyNumberFormat="0" applyAlignment="0" applyProtection="0">
      <alignment vertical="center"/>
    </xf>
    <xf numFmtId="0" fontId="34" fillId="6" borderId="16" applyNumberFormat="0" applyAlignment="0" applyProtection="0">
      <alignment vertical="center"/>
    </xf>
    <xf numFmtId="0" fontId="35" fillId="7" borderId="18" applyNumberFormat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7" fontId="3" fillId="3" borderId="4" xfId="0" applyNumberFormat="1" applyFont="1" applyFill="1" applyBorder="1" applyAlignment="1">
      <alignment horizontal="center" vertical="center"/>
    </xf>
    <xf numFmtId="179" fontId="4" fillId="2" borderId="4" xfId="0" applyNumberFormat="1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177" fontId="2" fillId="2" borderId="4" xfId="0" applyNumberFormat="1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8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0" fontId="6" fillId="0" borderId="5" xfId="0" applyFont="1" applyBorder="1">
      <alignment vertical="center"/>
    </xf>
    <xf numFmtId="0" fontId="7" fillId="0" borderId="0" xfId="0" applyFont="1">
      <alignment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7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177" fontId="2" fillId="3" borderId="7" xfId="0" applyNumberFormat="1" applyFont="1" applyFill="1" applyBorder="1" applyAlignment="1">
      <alignment horizontal="center" vertical="center"/>
    </xf>
    <xf numFmtId="178" fontId="2" fillId="3" borderId="7" xfId="0" applyNumberFormat="1" applyFont="1" applyFill="1" applyBorder="1" applyAlignment="1">
      <alignment horizontal="center" vertical="center"/>
    </xf>
    <xf numFmtId="177" fontId="3" fillId="3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1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58" fontId="8" fillId="0" borderId="4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8" fillId="0" borderId="4" xfId="0" applyNumberFormat="1" applyFont="1" applyFill="1" applyBorder="1" applyAlignment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8" fontId="8" fillId="0" borderId="4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/>
    </xf>
    <xf numFmtId="58" fontId="6" fillId="0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>
      <alignment vertical="center"/>
    </xf>
    <xf numFmtId="0" fontId="6" fillId="0" borderId="4" xfId="0" applyNumberFormat="1" applyFont="1" applyFill="1" applyBorder="1" applyAlignment="1">
      <alignment horizontal="center" vertical="center"/>
    </xf>
    <xf numFmtId="58" fontId="6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6" fontId="6" fillId="0" borderId="4" xfId="0" applyNumberFormat="1" applyFont="1" applyBorder="1">
      <alignment vertical="center"/>
    </xf>
    <xf numFmtId="0" fontId="6" fillId="0" borderId="4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7" fillId="0" borderId="4" xfId="0" applyFont="1" applyBorder="1">
      <alignment vertical="center"/>
    </xf>
    <xf numFmtId="0" fontId="10" fillId="0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76" fontId="14" fillId="0" borderId="11" xfId="0" applyNumberFormat="1" applyFont="1" applyFill="1" applyBorder="1" applyAlignment="1">
      <alignment horizontal="center" vertical="center"/>
    </xf>
    <xf numFmtId="177" fontId="14" fillId="0" borderId="6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center" vertical="center"/>
    </xf>
    <xf numFmtId="176" fontId="16" fillId="3" borderId="4" xfId="0" applyNumberFormat="1" applyFont="1" applyFill="1" applyBorder="1" applyAlignment="1">
      <alignment horizontal="center" vertical="center"/>
    </xf>
    <xf numFmtId="177" fontId="16" fillId="3" borderId="4" xfId="0" applyNumberFormat="1" applyFont="1" applyFill="1" applyBorder="1" applyAlignment="1">
      <alignment horizontal="center" vertical="center"/>
    </xf>
    <xf numFmtId="178" fontId="16" fillId="3" borderId="4" xfId="0" applyNumberFormat="1" applyFont="1" applyFill="1" applyBorder="1" applyAlignment="1">
      <alignment horizontal="center" vertical="center"/>
    </xf>
    <xf numFmtId="177" fontId="17" fillId="3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176" fontId="18" fillId="2" borderId="4" xfId="0" applyNumberFormat="1" applyFont="1" applyFill="1" applyBorder="1" applyAlignment="1">
      <alignment horizontal="center" vertical="center" wrapText="1"/>
    </xf>
    <xf numFmtId="177" fontId="18" fillId="2" borderId="4" xfId="0" applyNumberFormat="1" applyFont="1" applyFill="1" applyBorder="1" applyAlignment="1">
      <alignment horizontal="center" vertical="center" wrapText="1"/>
    </xf>
    <xf numFmtId="176" fontId="19" fillId="2" borderId="4" xfId="0" applyNumberFormat="1" applyFont="1" applyFill="1" applyBorder="1" applyAlignment="1" applyProtection="1">
      <alignment horizontal="center" vertical="center" wrapText="1"/>
    </xf>
    <xf numFmtId="178" fontId="18" fillId="2" borderId="4" xfId="0" applyNumberFormat="1" applyFont="1" applyFill="1" applyBorder="1" applyAlignment="1">
      <alignment horizontal="center" vertical="center" wrapText="1"/>
    </xf>
    <xf numFmtId="176" fontId="20" fillId="2" borderId="4" xfId="0" applyNumberFormat="1" applyFont="1" applyFill="1" applyBorder="1" applyAlignment="1">
      <alignment horizontal="center" vertical="center" wrapText="1"/>
    </xf>
    <xf numFmtId="58" fontId="21" fillId="0" borderId="4" xfId="0" applyNumberFormat="1" applyFont="1" applyFill="1" applyBorder="1" applyAlignment="1">
      <alignment horizontal="center" vertical="center"/>
    </xf>
    <xf numFmtId="0" fontId="21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177" fontId="21" fillId="0" borderId="4" xfId="0" applyNumberFormat="1" applyFont="1" applyFill="1" applyBorder="1" applyAlignment="1">
      <alignment horizontal="center" vertical="center" wrapText="1"/>
    </xf>
    <xf numFmtId="176" fontId="21" fillId="0" borderId="4" xfId="0" applyNumberFormat="1" applyFont="1" applyFill="1" applyBorder="1" applyAlignment="1">
      <alignment horizontal="center" vertical="center" wrapText="1"/>
    </xf>
    <xf numFmtId="176" fontId="22" fillId="0" borderId="4" xfId="0" applyNumberFormat="1" applyFont="1" applyFill="1" applyBorder="1" applyAlignment="1" applyProtection="1">
      <alignment horizontal="center" vertical="center" wrapText="1"/>
    </xf>
    <xf numFmtId="178" fontId="21" fillId="0" borderId="4" xfId="0" applyNumberFormat="1" applyFont="1" applyFill="1" applyBorder="1" applyAlignment="1">
      <alignment horizontal="center" vertical="center" wrapText="1"/>
    </xf>
    <xf numFmtId="176" fontId="2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/>
    </xf>
    <xf numFmtId="58" fontId="11" fillId="0" borderId="4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58" fontId="11" fillId="0" borderId="7" xfId="0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177" fontId="21" fillId="0" borderId="7" xfId="0" applyNumberFormat="1" applyFont="1" applyFill="1" applyBorder="1" applyAlignment="1">
      <alignment horizontal="center" vertical="center" wrapText="1"/>
    </xf>
    <xf numFmtId="176" fontId="22" fillId="0" borderId="7" xfId="0" applyNumberFormat="1" applyFont="1" applyFill="1" applyBorder="1" applyAlignment="1" applyProtection="1">
      <alignment horizontal="center" vertical="center" wrapText="1"/>
    </xf>
    <xf numFmtId="176" fontId="23" fillId="0" borderId="7" xfId="0" applyNumberFormat="1" applyFont="1" applyFill="1" applyBorder="1" applyAlignment="1">
      <alignment horizontal="center" vertical="center" wrapText="1"/>
    </xf>
    <xf numFmtId="58" fontId="11" fillId="0" borderId="9" xfId="0" applyNumberFormat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177" fontId="21" fillId="0" borderId="9" xfId="0" applyNumberFormat="1" applyFont="1" applyFill="1" applyBorder="1" applyAlignment="1">
      <alignment horizontal="center" vertical="center" wrapText="1"/>
    </xf>
    <xf numFmtId="176" fontId="22" fillId="0" borderId="9" xfId="0" applyNumberFormat="1" applyFont="1" applyFill="1" applyBorder="1" applyAlignment="1" applyProtection="1">
      <alignment horizontal="center" vertical="center" wrapText="1"/>
    </xf>
    <xf numFmtId="176" fontId="23" fillId="0" borderId="9" xfId="0" applyNumberFormat="1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3" fillId="0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58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"/>
  <sheetViews>
    <sheetView tabSelected="1" zoomScale="70" zoomScaleNormal="70" workbookViewId="0">
      <selection activeCell="A1" sqref="A1:W1"/>
    </sheetView>
  </sheetViews>
  <sheetFormatPr defaultColWidth="9" defaultRowHeight="30" customHeight="1"/>
  <cols>
    <col min="1" max="1" width="11" style="134" customWidth="1"/>
    <col min="2" max="2" width="15.3796296296296" style="134" customWidth="1"/>
    <col min="3" max="3" width="14.8796296296296" style="134" customWidth="1"/>
    <col min="4" max="4" width="12" style="134" customWidth="1"/>
    <col min="5" max="5" width="10.8796296296296" style="134" customWidth="1"/>
    <col min="6" max="6" width="15.5" style="134" customWidth="1"/>
    <col min="7" max="7" width="14" style="134" customWidth="1"/>
    <col min="8" max="8" width="9" style="134"/>
    <col min="9" max="9" width="9.25" style="134"/>
    <col min="10" max="10" width="9.37962962962963" style="134"/>
    <col min="11" max="11" width="11.6296296296296" style="134"/>
    <col min="12" max="13" width="9.25" style="134"/>
    <col min="14" max="14" width="9" style="134"/>
    <col min="15" max="15" width="9.25" style="134"/>
    <col min="16" max="16" width="9.37962962962963" style="134"/>
    <col min="17" max="18" width="9" style="134"/>
    <col min="19" max="19" width="11.6296296296296" style="134"/>
    <col min="20" max="20" width="12.25" style="134" customWidth="1"/>
    <col min="21" max="16384" width="9" style="134"/>
  </cols>
  <sheetData>
    <row r="1" s="76" customFormat="1" ht="34" customHeight="1" spans="1:23">
      <c r="A1" s="128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30"/>
    </row>
    <row r="2" s="77" customFormat="1" ht="21" customHeight="1" spans="1:23">
      <c r="A2" s="89" t="s">
        <v>1</v>
      </c>
      <c r="B2" s="89" t="s">
        <v>2</v>
      </c>
      <c r="C2" s="89" t="s">
        <v>3</v>
      </c>
      <c r="D2" s="89" t="s">
        <v>4</v>
      </c>
      <c r="E2" s="89" t="s">
        <v>5</v>
      </c>
      <c r="F2" s="89" t="s">
        <v>6</v>
      </c>
      <c r="G2" s="90" t="s">
        <v>7</v>
      </c>
      <c r="H2" s="90"/>
      <c r="I2" s="91"/>
      <c r="J2" s="90"/>
      <c r="K2" s="90"/>
      <c r="L2" s="91"/>
      <c r="M2" s="91" t="s">
        <v>8</v>
      </c>
      <c r="N2" s="91"/>
      <c r="O2" s="91"/>
      <c r="P2" s="90"/>
      <c r="Q2" s="92"/>
      <c r="R2" s="90"/>
      <c r="S2" s="93"/>
      <c r="T2" s="89" t="s">
        <v>9</v>
      </c>
      <c r="U2" s="131"/>
      <c r="V2" s="94"/>
      <c r="W2" s="94"/>
    </row>
    <row r="3" s="77" customFormat="1" ht="33" customHeight="1" spans="1:23">
      <c r="A3" s="89"/>
      <c r="B3" s="89"/>
      <c r="C3" s="89"/>
      <c r="D3" s="89"/>
      <c r="E3" s="89"/>
      <c r="F3" s="89"/>
      <c r="G3" s="95" t="s">
        <v>10</v>
      </c>
      <c r="H3" s="95" t="s">
        <v>11</v>
      </c>
      <c r="I3" s="96" t="s">
        <v>12</v>
      </c>
      <c r="J3" s="95" t="s">
        <v>13</v>
      </c>
      <c r="K3" s="97" t="s">
        <v>14</v>
      </c>
      <c r="L3" s="96" t="s">
        <v>15</v>
      </c>
      <c r="M3" s="96" t="s">
        <v>16</v>
      </c>
      <c r="N3" s="96" t="s">
        <v>17</v>
      </c>
      <c r="O3" s="96" t="s">
        <v>18</v>
      </c>
      <c r="P3" s="95" t="s">
        <v>19</v>
      </c>
      <c r="Q3" s="98" t="s">
        <v>20</v>
      </c>
      <c r="R3" s="95" t="s">
        <v>21</v>
      </c>
      <c r="S3" s="99" t="s">
        <v>22</v>
      </c>
      <c r="T3" s="89"/>
      <c r="U3" s="131" t="s">
        <v>23</v>
      </c>
      <c r="V3" s="94" t="s">
        <v>24</v>
      </c>
      <c r="W3" s="94"/>
    </row>
    <row r="4" s="78" customFormat="1" customHeight="1" spans="1:23">
      <c r="A4" s="100">
        <v>46040</v>
      </c>
      <c r="B4" s="101" t="s">
        <v>25</v>
      </c>
      <c r="C4" s="101" t="s">
        <v>26</v>
      </c>
      <c r="D4" s="102" t="s">
        <v>27</v>
      </c>
      <c r="E4" s="102">
        <v>4851406</v>
      </c>
      <c r="F4" s="101" t="s">
        <v>28</v>
      </c>
      <c r="G4" s="104">
        <v>79.37</v>
      </c>
      <c r="H4" s="104">
        <v>19.16</v>
      </c>
      <c r="I4" s="103">
        <f>G4-H4</f>
        <v>60.21</v>
      </c>
      <c r="J4" s="104">
        <v>2200</v>
      </c>
      <c r="K4" s="105">
        <f>I4*J4</f>
        <v>132462</v>
      </c>
      <c r="L4" s="103">
        <f>M4-I4</f>
        <v>0.310000000000002</v>
      </c>
      <c r="M4" s="103">
        <v>60.52</v>
      </c>
      <c r="N4" s="103">
        <v>1.2</v>
      </c>
      <c r="O4" s="103">
        <f>M4-N4</f>
        <v>59.32</v>
      </c>
      <c r="P4" s="104">
        <v>2200</v>
      </c>
      <c r="Q4" s="106">
        <v>0</v>
      </c>
      <c r="R4" s="104">
        <v>0</v>
      </c>
      <c r="S4" s="107">
        <f>FLOOR(O4*P4-Q4-R4,10)</f>
        <v>130500</v>
      </c>
      <c r="T4" s="101">
        <v>0</v>
      </c>
      <c r="U4" s="132">
        <v>20</v>
      </c>
      <c r="V4" s="132">
        <v>8540</v>
      </c>
      <c r="W4" s="108">
        <v>122</v>
      </c>
    </row>
    <row r="5" s="134" customFormat="1" customHeight="1" spans="1:23">
      <c r="A5" s="135">
        <v>46051</v>
      </c>
      <c r="B5" s="101" t="s">
        <v>25</v>
      </c>
      <c r="C5" s="135" t="s">
        <v>29</v>
      </c>
      <c r="D5" s="111" t="s">
        <v>30</v>
      </c>
      <c r="E5" s="111"/>
      <c r="F5" s="111" t="s">
        <v>31</v>
      </c>
      <c r="G5" s="111">
        <v>14.25</v>
      </c>
      <c r="H5" s="111">
        <v>4.65</v>
      </c>
      <c r="I5" s="103">
        <f>G5-H5</f>
        <v>9.6</v>
      </c>
      <c r="J5" s="111">
        <v>2320</v>
      </c>
      <c r="K5" s="105">
        <f>I5*J5</f>
        <v>22272</v>
      </c>
      <c r="L5" s="102"/>
      <c r="M5" s="102">
        <v>9.6</v>
      </c>
      <c r="N5" s="111">
        <v>0</v>
      </c>
      <c r="O5" s="103">
        <f>M5-N5</f>
        <v>9.6</v>
      </c>
      <c r="P5" s="111">
        <v>2320</v>
      </c>
      <c r="Q5" s="111">
        <v>0</v>
      </c>
      <c r="R5" s="111">
        <v>0</v>
      </c>
      <c r="S5" s="107">
        <f>ROUNDDOWN(O5*P5-Q5-R5,-1)</f>
        <v>22270</v>
      </c>
      <c r="T5" s="111" t="s">
        <v>32</v>
      </c>
      <c r="U5" s="136">
        <v>0</v>
      </c>
      <c r="V5" s="136">
        <v>0</v>
      </c>
      <c r="W5" s="136"/>
    </row>
    <row r="6" s="134" customFormat="1" customHeight="1" spans="1:23">
      <c r="A6" s="135">
        <v>46051</v>
      </c>
      <c r="B6" s="101" t="s">
        <v>25</v>
      </c>
      <c r="C6" s="135" t="s">
        <v>29</v>
      </c>
      <c r="D6" s="111" t="s">
        <v>30</v>
      </c>
      <c r="E6" s="111"/>
      <c r="F6" s="111" t="s">
        <v>31</v>
      </c>
      <c r="G6" s="111">
        <v>12.07</v>
      </c>
      <c r="H6" s="111">
        <v>4.63</v>
      </c>
      <c r="I6" s="103">
        <f>G6-H6</f>
        <v>7.44</v>
      </c>
      <c r="J6" s="111">
        <v>2320</v>
      </c>
      <c r="K6" s="105">
        <f>I6*J6</f>
        <v>17260.8</v>
      </c>
      <c r="L6" s="111"/>
      <c r="M6" s="111">
        <v>7.44</v>
      </c>
      <c r="N6" s="111">
        <v>0</v>
      </c>
      <c r="O6" s="103">
        <f>M6-N6</f>
        <v>7.44</v>
      </c>
      <c r="P6" s="111">
        <v>2320</v>
      </c>
      <c r="Q6" s="111">
        <v>0</v>
      </c>
      <c r="R6" s="111">
        <v>0</v>
      </c>
      <c r="S6" s="107">
        <f>FLOOR(O6*P6-Q6-R6,1)</f>
        <v>17260</v>
      </c>
      <c r="T6" s="111" t="s">
        <v>32</v>
      </c>
      <c r="U6" s="136">
        <v>0</v>
      </c>
      <c r="V6" s="136">
        <v>0</v>
      </c>
      <c r="W6" s="136"/>
    </row>
    <row r="7" s="127" customFormat="1" customHeight="1" spans="1:23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</row>
    <row r="9" s="81" customFormat="1" customHeight="1"/>
  </sheetData>
  <mergeCells count="10">
    <mergeCell ref="A1:W1"/>
    <mergeCell ref="G2:K2"/>
    <mergeCell ref="M2:S2"/>
    <mergeCell ref="A2:A3"/>
    <mergeCell ref="B2:B3"/>
    <mergeCell ref="C2:C3"/>
    <mergeCell ref="D2:D3"/>
    <mergeCell ref="E2:E3"/>
    <mergeCell ref="F2:F3"/>
    <mergeCell ref="T2:T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zoomScale="55" zoomScaleNormal="55" workbookViewId="0">
      <selection activeCell="A1" sqref="A1:V1"/>
    </sheetView>
  </sheetViews>
  <sheetFormatPr defaultColWidth="9" defaultRowHeight="14.4" outlineLevelRow="6"/>
  <cols>
    <col min="1" max="1" width="11" customWidth="1"/>
    <col min="2" max="2" width="15.3796296296296" customWidth="1"/>
    <col min="3" max="3" width="14.8796296296296" customWidth="1"/>
    <col min="4" max="4" width="12" customWidth="1"/>
    <col min="5" max="5" width="11" customWidth="1"/>
    <col min="6" max="6" width="15.5" customWidth="1"/>
    <col min="7" max="7" width="14" customWidth="1"/>
    <col min="9" max="9" width="9.25"/>
    <col min="10" max="10" width="9.37962962962963"/>
    <col min="11" max="11" width="11.6296296296296"/>
    <col min="12" max="13" width="9.25"/>
    <col min="15" max="15" width="9.25"/>
    <col min="16" max="16" width="9.37962962962963"/>
    <col min="19" max="19" width="13.5" customWidth="1"/>
  </cols>
  <sheetData>
    <row r="1" s="76" customFormat="1" ht="34" customHeight="1" spans="1:22">
      <c r="A1" s="128" t="s">
        <v>33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30"/>
    </row>
    <row r="2" s="77" customFormat="1" ht="21" customHeight="1" spans="1:22">
      <c r="A2" s="89" t="s">
        <v>1</v>
      </c>
      <c r="B2" s="89" t="s">
        <v>2</v>
      </c>
      <c r="C2" s="89" t="s">
        <v>3</v>
      </c>
      <c r="D2" s="89" t="s">
        <v>4</v>
      </c>
      <c r="E2" s="89" t="s">
        <v>5</v>
      </c>
      <c r="F2" s="89" t="s">
        <v>6</v>
      </c>
      <c r="G2" s="90" t="s">
        <v>7</v>
      </c>
      <c r="H2" s="90"/>
      <c r="I2" s="91"/>
      <c r="J2" s="90"/>
      <c r="K2" s="90"/>
      <c r="L2" s="91"/>
      <c r="M2" s="91" t="s">
        <v>8</v>
      </c>
      <c r="N2" s="91"/>
      <c r="O2" s="91"/>
      <c r="P2" s="90"/>
      <c r="Q2" s="92"/>
      <c r="R2" s="90"/>
      <c r="S2" s="93"/>
      <c r="T2" s="131"/>
      <c r="U2" s="94"/>
      <c r="V2" s="94"/>
    </row>
    <row r="3" s="77" customFormat="1" ht="43" customHeight="1" spans="1:22">
      <c r="A3" s="89"/>
      <c r="B3" s="89"/>
      <c r="C3" s="89"/>
      <c r="D3" s="89"/>
      <c r="E3" s="89"/>
      <c r="F3" s="89"/>
      <c r="G3" s="95" t="s">
        <v>10</v>
      </c>
      <c r="H3" s="95" t="s">
        <v>11</v>
      </c>
      <c r="I3" s="96" t="s">
        <v>12</v>
      </c>
      <c r="J3" s="95" t="s">
        <v>13</v>
      </c>
      <c r="K3" s="97" t="s">
        <v>14</v>
      </c>
      <c r="L3" s="96" t="s">
        <v>15</v>
      </c>
      <c r="M3" s="96" t="s">
        <v>16</v>
      </c>
      <c r="N3" s="96" t="s">
        <v>17</v>
      </c>
      <c r="O3" s="96" t="s">
        <v>18</v>
      </c>
      <c r="P3" s="95" t="s">
        <v>19</v>
      </c>
      <c r="Q3" s="98" t="s">
        <v>20</v>
      </c>
      <c r="R3" s="95" t="s">
        <v>21</v>
      </c>
      <c r="S3" s="99" t="s">
        <v>22</v>
      </c>
      <c r="T3" s="131" t="s">
        <v>23</v>
      </c>
      <c r="U3" s="94" t="s">
        <v>24</v>
      </c>
      <c r="V3" s="94"/>
    </row>
    <row r="4" s="78" customFormat="1" ht="34" customHeight="1" spans="1:22">
      <c r="A4" s="100">
        <v>46055</v>
      </c>
      <c r="B4" s="101" t="s">
        <v>25</v>
      </c>
      <c r="C4" s="101" t="s">
        <v>26</v>
      </c>
      <c r="D4" s="102" t="s">
        <v>27</v>
      </c>
      <c r="E4" s="101">
        <v>4917328</v>
      </c>
      <c r="F4" s="102" t="s">
        <v>28</v>
      </c>
      <c r="G4" s="25">
        <v>79.65</v>
      </c>
      <c r="H4" s="25">
        <v>19.25</v>
      </c>
      <c r="I4" s="103">
        <f>G4-H4</f>
        <v>60.4</v>
      </c>
      <c r="J4" s="104">
        <v>2008</v>
      </c>
      <c r="K4" s="105">
        <f>I4*J4</f>
        <v>121283.2</v>
      </c>
      <c r="L4" s="103">
        <f>M4-I4</f>
        <v>-0.199999999999996</v>
      </c>
      <c r="M4" s="103">
        <v>60.2</v>
      </c>
      <c r="N4" s="103">
        <v>0.8</v>
      </c>
      <c r="O4" s="103">
        <f>M4-N4</f>
        <v>59.4</v>
      </c>
      <c r="P4" s="104">
        <v>2008</v>
      </c>
      <c r="Q4" s="106">
        <v>0</v>
      </c>
      <c r="R4" s="104">
        <v>0</v>
      </c>
      <c r="S4" s="107">
        <f>ROUNDDOWN(O4*P4-Q4-R4-U4,-1)</f>
        <v>110700</v>
      </c>
      <c r="T4" s="132">
        <v>20</v>
      </c>
      <c r="U4" s="132">
        <v>8570</v>
      </c>
      <c r="V4" s="108">
        <v>122</v>
      </c>
    </row>
    <row r="5" s="127" customFormat="1" ht="30" customHeight="1" spans="1:22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</row>
    <row r="6" spans="1:22">
      <c r="B6" s="81"/>
    </row>
    <row r="7" s="81" customFormat="1" ht="30" customHeight="1"/>
  </sheetData>
  <mergeCells count="9">
    <mergeCell ref="A1:V1"/>
    <mergeCell ref="G2:K2"/>
    <mergeCell ref="M2:S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12"/>
  <sheetViews>
    <sheetView zoomScale="55" zoomScaleNormal="55" workbookViewId="0">
      <selection activeCell="A2" sqref="A2:V12"/>
    </sheetView>
  </sheetViews>
  <sheetFormatPr defaultColWidth="9" defaultRowHeight="14.4"/>
  <cols>
    <col min="1" max="2" width="11" customWidth="1"/>
    <col min="3" max="3" width="17.1296296296296" customWidth="1"/>
    <col min="4" max="4" width="12" customWidth="1"/>
    <col min="5" max="5" width="15.8796296296296" customWidth="1"/>
    <col min="6" max="6" width="15.5" customWidth="1"/>
    <col min="7" max="7" width="14" customWidth="1"/>
    <col min="9" max="9" width="9.25"/>
    <col min="10" max="10" width="9.37962962962963"/>
    <col min="11" max="11" width="14.1296296296296"/>
    <col min="12" max="13" width="9.25"/>
    <col min="15" max="15" width="9.25"/>
    <col min="16" max="16" width="9.37962962962963"/>
    <col min="19" max="19" width="11.6296296296296"/>
  </cols>
  <sheetData>
    <row r="1" s="76" customFormat="1" ht="34" customHeight="1" spans="1:22">
      <c r="A1" s="82" t="s">
        <v>34</v>
      </c>
      <c r="B1" s="82"/>
      <c r="C1" s="82"/>
      <c r="D1" s="82"/>
      <c r="E1" s="82"/>
      <c r="F1" s="82"/>
      <c r="G1" s="83"/>
      <c r="H1" s="83"/>
      <c r="I1" s="84"/>
      <c r="J1" s="85"/>
      <c r="K1" s="85"/>
      <c r="L1" s="86"/>
      <c r="M1" s="87"/>
      <c r="N1" s="86"/>
      <c r="O1" s="86"/>
      <c r="P1" s="86"/>
      <c r="Q1" s="86"/>
      <c r="R1" s="86"/>
      <c r="S1" s="88"/>
    </row>
    <row r="2" s="77" customFormat="1" ht="21" customHeight="1" spans="1:22">
      <c r="A2" s="89" t="s">
        <v>1</v>
      </c>
      <c r="B2" s="89" t="s">
        <v>2</v>
      </c>
      <c r="C2" s="89" t="s">
        <v>3</v>
      </c>
      <c r="D2" s="89" t="s">
        <v>4</v>
      </c>
      <c r="E2" s="89" t="s">
        <v>5</v>
      </c>
      <c r="F2" s="89" t="s">
        <v>6</v>
      </c>
      <c r="G2" s="90" t="s">
        <v>7</v>
      </c>
      <c r="H2" s="90"/>
      <c r="I2" s="91"/>
      <c r="J2" s="90"/>
      <c r="K2" s="90"/>
      <c r="L2" s="91"/>
      <c r="M2" s="91" t="s">
        <v>8</v>
      </c>
      <c r="N2" s="91"/>
      <c r="O2" s="91"/>
      <c r="P2" s="90"/>
      <c r="Q2" s="92"/>
      <c r="R2" s="90"/>
      <c r="S2" s="93"/>
      <c r="T2" s="94"/>
      <c r="U2" s="94"/>
      <c r="V2" s="94"/>
    </row>
    <row r="3" s="77" customFormat="1" ht="43" customHeight="1" spans="1:22">
      <c r="A3" s="89"/>
      <c r="B3" s="89"/>
      <c r="C3" s="89"/>
      <c r="D3" s="89"/>
      <c r="E3" s="89"/>
      <c r="F3" s="89"/>
      <c r="G3" s="95" t="s">
        <v>10</v>
      </c>
      <c r="H3" s="95" t="s">
        <v>11</v>
      </c>
      <c r="I3" s="96" t="s">
        <v>12</v>
      </c>
      <c r="J3" s="95" t="s">
        <v>13</v>
      </c>
      <c r="K3" s="97" t="s">
        <v>14</v>
      </c>
      <c r="L3" s="96" t="s">
        <v>15</v>
      </c>
      <c r="M3" s="96" t="s">
        <v>16</v>
      </c>
      <c r="N3" s="96" t="s">
        <v>17</v>
      </c>
      <c r="O3" s="96" t="s">
        <v>18</v>
      </c>
      <c r="P3" s="95" t="s">
        <v>19</v>
      </c>
      <c r="Q3" s="98" t="s">
        <v>20</v>
      </c>
      <c r="R3" s="95" t="s">
        <v>21</v>
      </c>
      <c r="S3" s="99" t="s">
        <v>22</v>
      </c>
      <c r="T3" s="94" t="s">
        <v>23</v>
      </c>
      <c r="U3" s="94" t="s">
        <v>24</v>
      </c>
      <c r="V3" s="94" t="s">
        <v>35</v>
      </c>
    </row>
    <row r="4" s="78" customFormat="1" ht="33" customHeight="1" spans="1:22">
      <c r="A4" s="100">
        <v>46094</v>
      </c>
      <c r="B4" s="100" t="s">
        <v>25</v>
      </c>
      <c r="C4" s="101" t="s">
        <v>36</v>
      </c>
      <c r="D4" s="102" t="s">
        <v>37</v>
      </c>
      <c r="E4" s="101"/>
      <c r="F4" s="102" t="s">
        <v>38</v>
      </c>
      <c r="G4" s="25">
        <v>50.68</v>
      </c>
      <c r="H4" s="25">
        <v>15.73</v>
      </c>
      <c r="I4" s="103">
        <f t="shared" ref="I4:I10" si="0">G4-H4</f>
        <v>34.95</v>
      </c>
      <c r="J4" s="104">
        <v>400.58</v>
      </c>
      <c r="K4" s="105">
        <f t="shared" ref="K4:K10" si="1">I4*J4</f>
        <v>14000.271</v>
      </c>
      <c r="L4" s="103">
        <f>I4-M4</f>
        <v>0</v>
      </c>
      <c r="M4" s="103">
        <v>34.95</v>
      </c>
      <c r="N4" s="103">
        <v>0</v>
      </c>
      <c r="O4" s="103">
        <f t="shared" ref="O4:O10" si="2">M4-N4</f>
        <v>34.95</v>
      </c>
      <c r="P4" s="104">
        <v>400.58</v>
      </c>
      <c r="Q4" s="106">
        <v>0</v>
      </c>
      <c r="R4" s="104">
        <v>0</v>
      </c>
      <c r="S4" s="107">
        <f>ROUNDDOWN(O4*P4-Q4-R4,-1)</f>
        <v>14000</v>
      </c>
      <c r="T4" s="108">
        <v>0</v>
      </c>
      <c r="U4" s="108">
        <v>0</v>
      </c>
      <c r="V4" s="108"/>
    </row>
    <row r="5" s="78" customFormat="1" ht="30" customHeight="1" spans="1:22">
      <c r="A5" s="100">
        <v>46094</v>
      </c>
      <c r="B5" s="100" t="s">
        <v>25</v>
      </c>
      <c r="C5" s="101" t="s">
        <v>39</v>
      </c>
      <c r="D5" s="102" t="s">
        <v>40</v>
      </c>
      <c r="E5" s="102"/>
      <c r="F5" s="102" t="s">
        <v>41</v>
      </c>
      <c r="G5" s="104">
        <v>56.67</v>
      </c>
      <c r="H5" s="104">
        <v>15.68</v>
      </c>
      <c r="I5" s="103">
        <f t="shared" si="0"/>
        <v>40.99</v>
      </c>
      <c r="J5" s="104">
        <v>2066</v>
      </c>
      <c r="K5" s="105">
        <f t="shared" si="1"/>
        <v>84685.34</v>
      </c>
      <c r="L5" s="103">
        <f>I5-M5</f>
        <v>0</v>
      </c>
      <c r="M5" s="103">
        <v>40.99</v>
      </c>
      <c r="N5" s="103">
        <v>0</v>
      </c>
      <c r="O5" s="103">
        <f t="shared" si="2"/>
        <v>40.99</v>
      </c>
      <c r="P5" s="104">
        <v>2066</v>
      </c>
      <c r="Q5" s="106">
        <v>0</v>
      </c>
      <c r="R5" s="104">
        <v>0</v>
      </c>
      <c r="S5" s="107">
        <f t="shared" ref="S4:S10" si="3">ROUNDDOWN(O5*P5-Q5-R5,-1)</f>
        <v>84680</v>
      </c>
      <c r="T5" s="108">
        <v>0</v>
      </c>
      <c r="U5" s="108">
        <v>0</v>
      </c>
      <c r="V5" s="108"/>
    </row>
    <row r="6" s="79" customFormat="1" ht="30" customHeight="1" spans="1:22">
      <c r="A6" s="109">
        <v>46097</v>
      </c>
      <c r="B6" s="100" t="s">
        <v>25</v>
      </c>
      <c r="C6" s="109" t="s">
        <v>26</v>
      </c>
      <c r="D6" s="102" t="s">
        <v>42</v>
      </c>
      <c r="E6" s="102" t="s">
        <v>43</v>
      </c>
      <c r="F6" s="102" t="s">
        <v>44</v>
      </c>
      <c r="G6" s="102">
        <v>85.54</v>
      </c>
      <c r="H6" s="102">
        <v>16.1</v>
      </c>
      <c r="I6" s="103">
        <f t="shared" si="0"/>
        <v>69.44</v>
      </c>
      <c r="J6" s="102">
        <v>2240</v>
      </c>
      <c r="K6" s="105">
        <f t="shared" si="1"/>
        <v>155545.6</v>
      </c>
      <c r="L6" s="103">
        <f>M6-I6</f>
        <v>0.780000000000001</v>
      </c>
      <c r="M6" s="102">
        <v>70.22</v>
      </c>
      <c r="N6" s="102">
        <v>2.4</v>
      </c>
      <c r="O6" s="103">
        <f t="shared" si="2"/>
        <v>67.82</v>
      </c>
      <c r="P6" s="102">
        <v>2240</v>
      </c>
      <c r="Q6" s="102">
        <v>0</v>
      </c>
      <c r="R6" s="102">
        <v>0</v>
      </c>
      <c r="S6" s="107">
        <f t="shared" si="3"/>
        <v>151910</v>
      </c>
      <c r="T6" s="110">
        <v>25</v>
      </c>
      <c r="U6" s="110">
        <v>10200</v>
      </c>
      <c r="V6" s="110" t="s">
        <v>45</v>
      </c>
    </row>
    <row r="7" s="80" customFormat="1" ht="30" customHeight="1" spans="1:22">
      <c r="A7" s="109">
        <v>46110</v>
      </c>
      <c r="B7" s="100" t="s">
        <v>25</v>
      </c>
      <c r="C7" s="102" t="s">
        <v>46</v>
      </c>
      <c r="D7" s="102" t="s">
        <v>47</v>
      </c>
      <c r="E7" s="102"/>
      <c r="F7" s="102" t="s">
        <v>28</v>
      </c>
      <c r="G7" s="102">
        <v>51.39</v>
      </c>
      <c r="H7" s="102">
        <v>14.85</v>
      </c>
      <c r="I7" s="103">
        <f t="shared" si="0"/>
        <v>36.54</v>
      </c>
      <c r="J7" s="111">
        <v>1983</v>
      </c>
      <c r="K7" s="105">
        <f t="shared" si="1"/>
        <v>72458.82</v>
      </c>
      <c r="L7" s="103">
        <f>M7-I7</f>
        <v>0.0799999999999983</v>
      </c>
      <c r="M7" s="102">
        <v>36.62</v>
      </c>
      <c r="N7" s="111">
        <v>0</v>
      </c>
      <c r="O7" s="103">
        <f t="shared" si="2"/>
        <v>36.62</v>
      </c>
      <c r="P7" s="111">
        <v>1983</v>
      </c>
      <c r="Q7" s="111">
        <v>0</v>
      </c>
      <c r="R7" s="111">
        <v>0</v>
      </c>
      <c r="S7" s="107">
        <f>ROUNDDOWN(O7*P7-Q7-R7-U7,-1)</f>
        <v>68230</v>
      </c>
      <c r="T7" s="112">
        <v>120</v>
      </c>
      <c r="U7" s="112">
        <f>ROUNDDOWN(I7*T7,-1)</f>
        <v>4380</v>
      </c>
      <c r="V7" s="112"/>
    </row>
    <row r="8" s="80" customFormat="1" ht="30" customHeight="1" spans="1:22">
      <c r="A8" s="109">
        <v>46111</v>
      </c>
      <c r="B8" s="100" t="s">
        <v>25</v>
      </c>
      <c r="C8" s="102" t="s">
        <v>48</v>
      </c>
      <c r="D8" s="102" t="s">
        <v>49</v>
      </c>
      <c r="E8" s="102"/>
      <c r="F8" s="102" t="s">
        <v>41</v>
      </c>
      <c r="G8" s="102">
        <v>52.23</v>
      </c>
      <c r="H8" s="102">
        <v>15.99</v>
      </c>
      <c r="I8" s="103">
        <f t="shared" si="0"/>
        <v>36.24</v>
      </c>
      <c r="J8" s="111">
        <v>2000</v>
      </c>
      <c r="K8" s="105">
        <f t="shared" si="1"/>
        <v>72480</v>
      </c>
      <c r="L8" s="103">
        <f>M8-I8</f>
        <v>-0.170000000000002</v>
      </c>
      <c r="M8" s="102">
        <v>36.07</v>
      </c>
      <c r="N8" s="111">
        <v>0</v>
      </c>
      <c r="O8" s="103">
        <f t="shared" si="2"/>
        <v>36.07</v>
      </c>
      <c r="P8" s="111">
        <v>2000</v>
      </c>
      <c r="Q8" s="111">
        <v>0</v>
      </c>
      <c r="R8" s="111">
        <v>0</v>
      </c>
      <c r="S8" s="107">
        <f>ROUNDDOWN(O8*P8-Q8-R8-U8,-1)</f>
        <v>69250</v>
      </c>
      <c r="T8" s="112">
        <v>80</v>
      </c>
      <c r="U8" s="112">
        <v>2890</v>
      </c>
      <c r="V8" s="112"/>
    </row>
    <row r="9" s="80" customFormat="1" ht="30" hidden="1" customHeight="1" spans="1:22">
      <c r="A9" s="113">
        <v>46110</v>
      </c>
      <c r="B9" s="114" t="s">
        <v>50</v>
      </c>
      <c r="C9" s="114" t="s">
        <v>51</v>
      </c>
      <c r="D9" s="114" t="s">
        <v>27</v>
      </c>
      <c r="E9" s="114"/>
      <c r="F9" s="115" t="s">
        <v>52</v>
      </c>
      <c r="G9" s="114">
        <v>50.56</v>
      </c>
      <c r="H9" s="114">
        <v>19.21</v>
      </c>
      <c r="I9" s="116">
        <f t="shared" si="0"/>
        <v>31.35</v>
      </c>
      <c r="J9" s="115">
        <v>2031</v>
      </c>
      <c r="K9" s="117">
        <f t="shared" si="1"/>
        <v>63671.85</v>
      </c>
      <c r="L9" s="116">
        <f>M9-I9</f>
        <v>0.25</v>
      </c>
      <c r="M9" s="115">
        <v>31.6</v>
      </c>
      <c r="N9" s="115">
        <v>0.731</v>
      </c>
      <c r="O9" s="116">
        <f t="shared" si="2"/>
        <v>30.869</v>
      </c>
      <c r="P9" s="115">
        <v>2031</v>
      </c>
      <c r="Q9" s="115">
        <v>700</v>
      </c>
      <c r="R9" s="115">
        <v>0</v>
      </c>
      <c r="S9" s="118">
        <f t="shared" si="3"/>
        <v>61990</v>
      </c>
      <c r="T9" s="80">
        <v>0</v>
      </c>
      <c r="U9" s="80">
        <v>0</v>
      </c>
    </row>
    <row r="10" s="80" customFormat="1" ht="30" hidden="1" customHeight="1" spans="1:22">
      <c r="A10" s="119">
        <v>46111</v>
      </c>
      <c r="B10" s="120" t="s">
        <v>50</v>
      </c>
      <c r="C10" s="121" t="s">
        <v>51</v>
      </c>
      <c r="D10" s="121" t="s">
        <v>53</v>
      </c>
      <c r="E10" s="121"/>
      <c r="F10" s="121" t="s">
        <v>52</v>
      </c>
      <c r="G10" s="120">
        <v>54.81</v>
      </c>
      <c r="H10" s="120">
        <v>15.82</v>
      </c>
      <c r="I10" s="122">
        <f t="shared" si="0"/>
        <v>38.99</v>
      </c>
      <c r="J10" s="121">
        <v>2031</v>
      </c>
      <c r="K10" s="123">
        <f t="shared" si="1"/>
        <v>79188.69</v>
      </c>
      <c r="L10" s="122">
        <f>M10-I10</f>
        <v>0.00999999999999801</v>
      </c>
      <c r="M10" s="121">
        <v>39</v>
      </c>
      <c r="N10" s="121">
        <v>0.881</v>
      </c>
      <c r="O10" s="122">
        <f t="shared" si="2"/>
        <v>38.119</v>
      </c>
      <c r="P10" s="121">
        <v>2031</v>
      </c>
      <c r="Q10" s="121">
        <v>400</v>
      </c>
      <c r="R10" s="121">
        <v>0</v>
      </c>
      <c r="S10" s="124">
        <f t="shared" si="3"/>
        <v>77010</v>
      </c>
      <c r="T10" s="80">
        <v>0</v>
      </c>
      <c r="U10" s="80">
        <v>0</v>
      </c>
    </row>
    <row r="11" spans="1:22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</row>
    <row r="12" s="81" customFormat="1" ht="30" customHeight="1" spans="1:22">
      <c r="A12" s="126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</row>
  </sheetData>
  <autoFilter xmlns:etc="http://www.wps.cn/officeDocument/2017/etCustomData" ref="A3:S10" etc:filterBottomFollowUsedRange="0">
    <filterColumn colId="1">
      <customFilters>
        <customFilter operator="equal" val="信阳基地"/>
      </customFilters>
    </filterColumn>
    <extLst/>
  </autoFilter>
  <mergeCells count="9">
    <mergeCell ref="A1:S1"/>
    <mergeCell ref="G2:K2"/>
    <mergeCell ref="M2:S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24"/>
  <sheetViews>
    <sheetView zoomScale="40" zoomScaleNormal="40" workbookViewId="0">
      <pane ySplit="3" topLeftCell="A4" activePane="bottomLeft" state="frozen"/>
      <selection/>
      <selection pane="bottomLeft" activeCell="A1" sqref="A1:X1"/>
    </sheetView>
  </sheetViews>
  <sheetFormatPr defaultColWidth="9" defaultRowHeight="20.4"/>
  <cols>
    <col min="1" max="1" width="17.287037037037" style="30" customWidth="1"/>
    <col min="2" max="2" width="18.962962962963" style="30" customWidth="1"/>
    <col min="3" max="3" width="23.8148148148148" style="30" customWidth="1"/>
    <col min="4" max="4" width="16.7685185185185" style="30" customWidth="1"/>
    <col min="5" max="5" width="21.0648148148148" style="30" customWidth="1"/>
    <col min="6" max="6" width="15.5" style="30" customWidth="1"/>
    <col min="7" max="7" width="12.1296296296296" style="30" customWidth="1"/>
    <col min="8" max="8" width="14.3796296296296" style="30"/>
    <col min="9" max="9" width="16.5" style="32"/>
    <col min="10" max="10" width="14.4074074074074" style="30" customWidth="1"/>
    <col min="11" max="11" width="15.5833333333333" style="33" customWidth="1"/>
    <col min="12" max="12" width="14.8518518518519" style="34" customWidth="1"/>
    <col min="13" max="13" width="13.5277777777778" style="30" customWidth="1"/>
    <col min="14" max="14" width="12.3425925925926" style="30" customWidth="1"/>
    <col min="15" max="16" width="16.5" style="30"/>
    <col min="17" max="17" width="10" style="30" customWidth="1"/>
    <col min="18" max="18" width="12.1296296296296" style="30"/>
    <col min="19" max="19" width="16.75" style="35" customWidth="1"/>
    <col min="20" max="20" width="9" style="30"/>
    <col min="21" max="21" width="9.87962962962963" style="30"/>
    <col min="22" max="16384" width="9" style="30"/>
  </cols>
  <sheetData>
    <row r="1" s="26" customFormat="1" ht="34" customHeight="1" spans="1:24">
      <c r="A1" s="36" t="s">
        <v>54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8"/>
    </row>
    <row r="2" s="27" customFormat="1" ht="21" customHeight="1" spans="1:24">
      <c r="A2" s="39" t="s">
        <v>1</v>
      </c>
      <c r="B2" s="40" t="s">
        <v>2</v>
      </c>
      <c r="C2" s="39" t="s">
        <v>3</v>
      </c>
      <c r="D2" s="39" t="s">
        <v>4</v>
      </c>
      <c r="E2" s="39" t="s">
        <v>5</v>
      </c>
      <c r="F2" s="39" t="s">
        <v>6</v>
      </c>
      <c r="G2" s="41" t="s">
        <v>7</v>
      </c>
      <c r="H2" s="41"/>
      <c r="I2" s="41"/>
      <c r="J2" s="41"/>
      <c r="K2" s="42"/>
      <c r="L2" s="43"/>
      <c r="M2" s="43" t="s">
        <v>8</v>
      </c>
      <c r="N2" s="43"/>
      <c r="O2" s="43"/>
      <c r="P2" s="41"/>
      <c r="Q2" s="44"/>
      <c r="R2" s="41"/>
      <c r="S2" s="45"/>
      <c r="T2" s="46"/>
      <c r="U2" s="46"/>
      <c r="V2" s="46"/>
      <c r="W2" s="46"/>
      <c r="X2" s="46"/>
    </row>
    <row r="3" s="27" customFormat="1" ht="43" customHeight="1" spans="1:24">
      <c r="A3" s="47"/>
      <c r="B3" s="48"/>
      <c r="C3" s="7"/>
      <c r="D3" s="7"/>
      <c r="E3" s="7"/>
      <c r="F3" s="7"/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7" t="s">
        <v>15</v>
      </c>
      <c r="M3" s="17" t="s">
        <v>16</v>
      </c>
      <c r="N3" s="17" t="s">
        <v>17</v>
      </c>
      <c r="O3" s="17" t="s">
        <v>18</v>
      </c>
      <c r="P3" s="15" t="s">
        <v>19</v>
      </c>
      <c r="Q3" s="18" t="s">
        <v>20</v>
      </c>
      <c r="R3" s="15" t="s">
        <v>21</v>
      </c>
      <c r="S3" s="19" t="s">
        <v>55</v>
      </c>
      <c r="T3" s="49" t="s">
        <v>23</v>
      </c>
      <c r="U3" s="49" t="s">
        <v>24</v>
      </c>
      <c r="V3" s="49"/>
      <c r="W3" s="49"/>
      <c r="X3" s="49"/>
    </row>
    <row r="4" s="26" customFormat="1" ht="35" customHeight="1" spans="1:24">
      <c r="A4" s="50">
        <v>46113</v>
      </c>
      <c r="B4" s="51" t="s">
        <v>25</v>
      </c>
      <c r="C4" s="52" t="s">
        <v>48</v>
      </c>
      <c r="D4" s="53" t="s">
        <v>27</v>
      </c>
      <c r="E4" s="52"/>
      <c r="F4" s="53" t="s">
        <v>52</v>
      </c>
      <c r="G4" s="54">
        <v>50.49</v>
      </c>
      <c r="H4" s="54">
        <v>19.13</v>
      </c>
      <c r="I4" s="55">
        <f t="shared" ref="I4:I20" si="0">G4-H4</f>
        <v>31.36</v>
      </c>
      <c r="J4" s="55">
        <v>0</v>
      </c>
      <c r="K4" s="56">
        <f t="shared" ref="K4:K16" si="1">I4*J4</f>
        <v>0</v>
      </c>
      <c r="L4" s="57"/>
      <c r="M4" s="57">
        <v>0</v>
      </c>
      <c r="N4" s="57">
        <v>0</v>
      </c>
      <c r="O4" s="57">
        <f t="shared" ref="O4:O17" si="2">M4-N4</f>
        <v>0</v>
      </c>
      <c r="P4" s="55">
        <v>0</v>
      </c>
      <c r="Q4" s="58">
        <v>0</v>
      </c>
      <c r="R4" s="55">
        <v>0</v>
      </c>
      <c r="S4" s="59">
        <f>ROUNDDOWN(O4*P4-Q4-R4,-1)</f>
        <v>0</v>
      </c>
      <c r="T4" s="60"/>
      <c r="U4" s="60">
        <v>2500</v>
      </c>
      <c r="V4" s="60"/>
      <c r="W4" s="60"/>
      <c r="X4" s="60" t="s">
        <v>56</v>
      </c>
    </row>
    <row r="5" s="26" customFormat="1" ht="35" customHeight="1" spans="1:24">
      <c r="A5" s="50">
        <v>46114</v>
      </c>
      <c r="B5" s="51" t="s">
        <v>25</v>
      </c>
      <c r="C5" s="52" t="s">
        <v>57</v>
      </c>
      <c r="D5" s="53" t="s">
        <v>58</v>
      </c>
      <c r="E5" s="53"/>
      <c r="F5" s="53" t="s">
        <v>38</v>
      </c>
      <c r="G5" s="55">
        <v>53.16</v>
      </c>
      <c r="H5" s="55">
        <v>16.2</v>
      </c>
      <c r="I5" s="55">
        <f t="shared" si="0"/>
        <v>36.96</v>
      </c>
      <c r="J5" s="55">
        <v>450</v>
      </c>
      <c r="K5" s="56">
        <f t="shared" si="1"/>
        <v>16632</v>
      </c>
      <c r="L5" s="57">
        <f t="shared" ref="L5:L10" si="3">M5-I5</f>
        <v>0</v>
      </c>
      <c r="M5" s="57">
        <v>36.96</v>
      </c>
      <c r="N5" s="57">
        <v>0</v>
      </c>
      <c r="O5" s="57">
        <f t="shared" si="2"/>
        <v>36.96</v>
      </c>
      <c r="P5" s="55">
        <v>450</v>
      </c>
      <c r="Q5" s="58">
        <v>0</v>
      </c>
      <c r="R5" s="55">
        <v>0</v>
      </c>
      <c r="S5" s="59">
        <f>ROUNDDOWN(O5*P5-Q5-R5,-1)</f>
        <v>16630</v>
      </c>
      <c r="T5" s="60"/>
      <c r="U5" s="60">
        <v>0</v>
      </c>
      <c r="V5" s="60"/>
      <c r="W5" s="60"/>
      <c r="X5" s="60"/>
    </row>
    <row r="6" s="28" customFormat="1" ht="35" customHeight="1" spans="1:24">
      <c r="A6" s="61">
        <v>46118</v>
      </c>
      <c r="B6" s="51" t="s">
        <v>25</v>
      </c>
      <c r="C6" s="62" t="s">
        <v>59</v>
      </c>
      <c r="D6" s="61" t="s">
        <v>27</v>
      </c>
      <c r="E6" s="62"/>
      <c r="F6" s="53" t="s">
        <v>52</v>
      </c>
      <c r="G6" s="62">
        <v>68.85</v>
      </c>
      <c r="H6" s="62">
        <v>19.06</v>
      </c>
      <c r="I6" s="55">
        <f t="shared" si="0"/>
        <v>49.79</v>
      </c>
      <c r="J6" s="62">
        <v>2031</v>
      </c>
      <c r="K6" s="56">
        <f t="shared" si="1"/>
        <v>101123.49</v>
      </c>
      <c r="L6" s="57">
        <f t="shared" si="3"/>
        <v>0.310000000000009</v>
      </c>
      <c r="M6" s="62">
        <v>50.1</v>
      </c>
      <c r="N6" s="62">
        <v>1.032</v>
      </c>
      <c r="O6" s="57">
        <f t="shared" si="2"/>
        <v>49.068</v>
      </c>
      <c r="P6" s="62">
        <v>2031</v>
      </c>
      <c r="Q6" s="62">
        <v>650</v>
      </c>
      <c r="R6" s="62">
        <v>0</v>
      </c>
      <c r="S6" s="59">
        <f t="shared" ref="S6:S11" si="4">ROUNDDOWN(O6*P6-Q6-R6-U6,-1)</f>
        <v>95020</v>
      </c>
      <c r="T6" s="62">
        <v>80</v>
      </c>
      <c r="U6" s="62">
        <f t="shared" ref="U6:U17" si="5">ROUNDDOWN(I6*T6,-1)</f>
        <v>3980</v>
      </c>
      <c r="V6" s="62"/>
      <c r="W6" s="62"/>
      <c r="X6" s="62"/>
    </row>
    <row r="7" s="28" customFormat="1" ht="35" customHeight="1" spans="1:24">
      <c r="A7" s="61">
        <v>46120</v>
      </c>
      <c r="B7" s="51" t="s">
        <v>25</v>
      </c>
      <c r="C7" s="52" t="s">
        <v>48</v>
      </c>
      <c r="D7" s="62" t="s">
        <v>49</v>
      </c>
      <c r="E7" s="62"/>
      <c r="F7" s="53" t="s">
        <v>60</v>
      </c>
      <c r="G7" s="62">
        <v>51.4</v>
      </c>
      <c r="H7" s="62">
        <v>15.87</v>
      </c>
      <c r="I7" s="55">
        <f t="shared" si="0"/>
        <v>35.53</v>
      </c>
      <c r="J7" s="62">
        <v>1820</v>
      </c>
      <c r="K7" s="56">
        <f t="shared" si="1"/>
        <v>64664.6</v>
      </c>
      <c r="L7" s="57">
        <f t="shared" si="3"/>
        <v>0.409999999999997</v>
      </c>
      <c r="M7" s="62">
        <v>35.94</v>
      </c>
      <c r="N7" s="62"/>
      <c r="O7" s="57">
        <f t="shared" si="2"/>
        <v>35.94</v>
      </c>
      <c r="P7" s="62">
        <v>1820</v>
      </c>
      <c r="Q7" s="62">
        <v>0</v>
      </c>
      <c r="R7" s="62">
        <v>0</v>
      </c>
      <c r="S7" s="59">
        <f t="shared" si="4"/>
        <v>62570</v>
      </c>
      <c r="T7" s="62">
        <v>80</v>
      </c>
      <c r="U7" s="62">
        <f t="shared" si="5"/>
        <v>2840</v>
      </c>
      <c r="V7" s="62"/>
      <c r="W7" s="62"/>
      <c r="X7" s="62"/>
    </row>
    <row r="8" s="29" customFormat="1" ht="35" customHeight="1" spans="1:24">
      <c r="A8" s="61">
        <v>46123</v>
      </c>
      <c r="B8" s="51" t="s">
        <v>25</v>
      </c>
      <c r="C8" s="52" t="s">
        <v>48</v>
      </c>
      <c r="D8" s="62" t="s">
        <v>49</v>
      </c>
      <c r="E8" s="63"/>
      <c r="F8" s="53" t="s">
        <v>60</v>
      </c>
      <c r="G8" s="62">
        <v>51.52</v>
      </c>
      <c r="H8" s="62">
        <v>15.8</v>
      </c>
      <c r="I8" s="55">
        <f t="shared" si="0"/>
        <v>35.72</v>
      </c>
      <c r="J8" s="62">
        <v>1820</v>
      </c>
      <c r="K8" s="56">
        <f t="shared" si="1"/>
        <v>65010.4</v>
      </c>
      <c r="L8" s="57">
        <f t="shared" si="3"/>
        <v>-0.0600000000000023</v>
      </c>
      <c r="M8" s="62">
        <v>35.66</v>
      </c>
      <c r="N8" s="62"/>
      <c r="O8" s="57">
        <f t="shared" si="2"/>
        <v>35.66</v>
      </c>
      <c r="P8" s="62">
        <v>1820</v>
      </c>
      <c r="Q8" s="62">
        <v>0</v>
      </c>
      <c r="R8" s="62">
        <v>0</v>
      </c>
      <c r="S8" s="59">
        <f t="shared" si="4"/>
        <v>62050</v>
      </c>
      <c r="T8" s="62">
        <v>80</v>
      </c>
      <c r="U8" s="62">
        <f t="shared" si="5"/>
        <v>2850</v>
      </c>
      <c r="V8" s="63"/>
      <c r="W8" s="63"/>
      <c r="X8" s="63"/>
    </row>
    <row r="9" s="29" customFormat="1" ht="35" customHeight="1" spans="1:24">
      <c r="A9" s="61">
        <v>46126</v>
      </c>
      <c r="B9" s="51" t="s">
        <v>25</v>
      </c>
      <c r="C9" s="62" t="s">
        <v>59</v>
      </c>
      <c r="D9" s="62" t="s">
        <v>49</v>
      </c>
      <c r="E9" s="63"/>
      <c r="F9" s="53" t="s">
        <v>52</v>
      </c>
      <c r="G9" s="62">
        <v>67.06</v>
      </c>
      <c r="H9" s="62">
        <v>16.86</v>
      </c>
      <c r="I9" s="55">
        <f t="shared" si="0"/>
        <v>50.2</v>
      </c>
      <c r="J9" s="62">
        <v>2031</v>
      </c>
      <c r="K9" s="56">
        <f t="shared" si="1"/>
        <v>101956.2</v>
      </c>
      <c r="L9" s="57">
        <f t="shared" si="3"/>
        <v>0.0999999999999943</v>
      </c>
      <c r="M9" s="62">
        <v>50.3</v>
      </c>
      <c r="N9" s="62">
        <v>0.936</v>
      </c>
      <c r="O9" s="57">
        <f t="shared" si="2"/>
        <v>49.364</v>
      </c>
      <c r="P9" s="62">
        <v>2031</v>
      </c>
      <c r="Q9" s="62">
        <v>350</v>
      </c>
      <c r="R9" s="62">
        <v>500</v>
      </c>
      <c r="S9" s="59">
        <f t="shared" si="4"/>
        <v>95390</v>
      </c>
      <c r="T9" s="62">
        <v>80</v>
      </c>
      <c r="U9" s="62">
        <f t="shared" si="5"/>
        <v>4010</v>
      </c>
      <c r="V9" s="63"/>
      <c r="W9" s="63"/>
      <c r="X9" s="63"/>
    </row>
    <row r="10" s="29" customFormat="1" ht="35" customHeight="1" spans="1:24">
      <c r="A10" s="61">
        <v>46127</v>
      </c>
      <c r="B10" s="51" t="s">
        <v>25</v>
      </c>
      <c r="C10" s="62" t="s">
        <v>59</v>
      </c>
      <c r="D10" s="53" t="s">
        <v>27</v>
      </c>
      <c r="E10" s="63"/>
      <c r="F10" s="53" t="s">
        <v>52</v>
      </c>
      <c r="G10" s="62">
        <v>67.96</v>
      </c>
      <c r="H10" s="62">
        <v>18.35</v>
      </c>
      <c r="I10" s="55">
        <f t="shared" si="0"/>
        <v>49.61</v>
      </c>
      <c r="J10" s="62">
        <v>2031</v>
      </c>
      <c r="K10" s="56">
        <f t="shared" si="1"/>
        <v>100757.91</v>
      </c>
      <c r="L10" s="57">
        <f t="shared" si="3"/>
        <v>0.190000000000005</v>
      </c>
      <c r="M10" s="62">
        <v>49.8</v>
      </c>
      <c r="N10" s="62">
        <v>1.116</v>
      </c>
      <c r="O10" s="57">
        <f t="shared" si="2"/>
        <v>48.684</v>
      </c>
      <c r="P10" s="62">
        <v>2031</v>
      </c>
      <c r="Q10" s="62">
        <v>400</v>
      </c>
      <c r="R10" s="62">
        <v>500</v>
      </c>
      <c r="S10" s="59">
        <f t="shared" si="4"/>
        <v>94010</v>
      </c>
      <c r="T10" s="62">
        <v>80</v>
      </c>
      <c r="U10" s="62">
        <f t="shared" si="5"/>
        <v>3960</v>
      </c>
      <c r="V10" s="63"/>
      <c r="W10" s="63"/>
      <c r="X10" s="63"/>
    </row>
    <row r="11" s="28" customFormat="1" ht="35" customHeight="1" spans="1:24">
      <c r="A11" s="61">
        <v>46130</v>
      </c>
      <c r="B11" s="51" t="s">
        <v>25</v>
      </c>
      <c r="C11" s="52" t="s">
        <v>48</v>
      </c>
      <c r="D11" s="62" t="s">
        <v>61</v>
      </c>
      <c r="E11" s="62"/>
      <c r="F11" s="53" t="s">
        <v>60</v>
      </c>
      <c r="G11" s="62">
        <v>51.49</v>
      </c>
      <c r="H11" s="62">
        <v>16.14</v>
      </c>
      <c r="I11" s="55">
        <f t="shared" si="0"/>
        <v>35.35</v>
      </c>
      <c r="J11" s="62">
        <v>1820</v>
      </c>
      <c r="K11" s="56">
        <f t="shared" si="1"/>
        <v>64337</v>
      </c>
      <c r="L11" s="57">
        <f t="shared" ref="L11:L16" si="6">M11-I11</f>
        <v>-0.0700000000000003</v>
      </c>
      <c r="M11" s="62">
        <v>35.28</v>
      </c>
      <c r="N11" s="62"/>
      <c r="O11" s="57">
        <f t="shared" si="2"/>
        <v>35.28</v>
      </c>
      <c r="P11" s="62">
        <f t="shared" ref="P11:P16" si="7">J11</f>
        <v>1820</v>
      </c>
      <c r="Q11" s="62">
        <v>0</v>
      </c>
      <c r="R11" s="62">
        <v>0</v>
      </c>
      <c r="S11" s="59">
        <f t="shared" si="4"/>
        <v>61380</v>
      </c>
      <c r="T11" s="62">
        <v>80</v>
      </c>
      <c r="U11" s="62">
        <f t="shared" si="5"/>
        <v>2820</v>
      </c>
      <c r="V11" s="62"/>
      <c r="W11" s="62"/>
      <c r="X11" s="62"/>
    </row>
    <row r="12" s="29" customFormat="1" ht="35" customHeight="1" spans="1:24">
      <c r="A12" s="61">
        <v>46130</v>
      </c>
      <c r="B12" s="51" t="s">
        <v>25</v>
      </c>
      <c r="C12" s="52" t="s">
        <v>48</v>
      </c>
      <c r="D12" s="53" t="s">
        <v>27</v>
      </c>
      <c r="E12" s="63"/>
      <c r="F12" s="53" t="s">
        <v>60</v>
      </c>
      <c r="G12" s="62">
        <v>51.47</v>
      </c>
      <c r="H12" s="62">
        <v>18.17</v>
      </c>
      <c r="I12" s="55">
        <f t="shared" si="0"/>
        <v>33.3</v>
      </c>
      <c r="J12" s="62">
        <v>1820</v>
      </c>
      <c r="K12" s="56">
        <f t="shared" si="1"/>
        <v>60606</v>
      </c>
      <c r="L12" s="57">
        <f t="shared" si="6"/>
        <v>-0.0599999999999952</v>
      </c>
      <c r="M12" s="62">
        <v>33.24</v>
      </c>
      <c r="N12" s="62"/>
      <c r="O12" s="57">
        <f t="shared" si="2"/>
        <v>33.24</v>
      </c>
      <c r="P12" s="62">
        <f t="shared" si="7"/>
        <v>1820</v>
      </c>
      <c r="Q12" s="62">
        <v>0</v>
      </c>
      <c r="R12" s="62">
        <v>0</v>
      </c>
      <c r="S12" s="59">
        <f>ROUNDDOWN(O12*P12-Q12-R12,-1)</f>
        <v>60490</v>
      </c>
      <c r="T12" s="62">
        <v>80</v>
      </c>
      <c r="U12" s="62">
        <f t="shared" si="5"/>
        <v>2660</v>
      </c>
      <c r="V12" s="63"/>
      <c r="W12" s="63"/>
      <c r="X12" s="63"/>
    </row>
    <row r="13" s="28" customFormat="1" ht="48" customHeight="1" spans="1:24">
      <c r="A13" s="61">
        <v>46132</v>
      </c>
      <c r="B13" s="51" t="s">
        <v>25</v>
      </c>
      <c r="C13" s="64" t="s">
        <v>62</v>
      </c>
      <c r="D13" s="64" t="s">
        <v>63</v>
      </c>
      <c r="E13" s="62"/>
      <c r="F13" s="62" t="s">
        <v>64</v>
      </c>
      <c r="G13" s="62">
        <v>58.1</v>
      </c>
      <c r="H13" s="62">
        <v>15.92</v>
      </c>
      <c r="I13" s="55">
        <f t="shared" si="0"/>
        <v>42.18</v>
      </c>
      <c r="J13" s="62"/>
      <c r="K13" s="56">
        <f t="shared" si="1"/>
        <v>0</v>
      </c>
      <c r="L13" s="57">
        <f t="shared" si="6"/>
        <v>0.170000000000002</v>
      </c>
      <c r="M13" s="62">
        <v>42.35</v>
      </c>
      <c r="N13" s="62">
        <v>0.381</v>
      </c>
      <c r="O13" s="57">
        <f t="shared" si="2"/>
        <v>41.969</v>
      </c>
      <c r="P13" s="62">
        <v>2070</v>
      </c>
      <c r="Q13" s="62"/>
      <c r="R13" s="62"/>
      <c r="S13" s="59">
        <f>ROUNDDOWN(O13*P13-Q13-R13,-1)</f>
        <v>86870</v>
      </c>
      <c r="T13" s="62">
        <v>80</v>
      </c>
      <c r="U13" s="62">
        <f t="shared" si="5"/>
        <v>3370</v>
      </c>
      <c r="V13" s="62"/>
      <c r="W13" s="62"/>
      <c r="X13" s="62"/>
    </row>
    <row r="14" s="28" customFormat="1" ht="35" customHeight="1" spans="1:24">
      <c r="A14" s="61">
        <v>46132</v>
      </c>
      <c r="B14" s="51" t="s">
        <v>25</v>
      </c>
      <c r="C14" s="62" t="s">
        <v>65</v>
      </c>
      <c r="D14" s="53" t="s">
        <v>27</v>
      </c>
      <c r="E14" s="62" t="s">
        <v>66</v>
      </c>
      <c r="F14" s="62" t="s">
        <v>52</v>
      </c>
      <c r="G14" s="62">
        <v>87.66</v>
      </c>
      <c r="H14" s="62">
        <v>18.19</v>
      </c>
      <c r="I14" s="55">
        <f t="shared" si="0"/>
        <v>69.47</v>
      </c>
      <c r="J14" s="62">
        <v>1986</v>
      </c>
      <c r="K14" s="56">
        <f t="shared" si="1"/>
        <v>137967.42</v>
      </c>
      <c r="L14" s="57">
        <f t="shared" si="6"/>
        <v>1.07000000000001</v>
      </c>
      <c r="M14" s="62">
        <v>70.54</v>
      </c>
      <c r="N14" s="62">
        <v>1.4</v>
      </c>
      <c r="O14" s="57">
        <f t="shared" si="2"/>
        <v>69.14</v>
      </c>
      <c r="P14" s="62">
        <f t="shared" si="7"/>
        <v>1986</v>
      </c>
      <c r="Q14" s="62">
        <v>4200</v>
      </c>
      <c r="R14" s="62"/>
      <c r="S14" s="59">
        <f>ROUNDDOWN(O14*P14-Q14-R14,-1)</f>
        <v>133110</v>
      </c>
      <c r="T14" s="62">
        <v>142</v>
      </c>
      <c r="U14" s="62">
        <f t="shared" si="5"/>
        <v>9860</v>
      </c>
      <c r="V14" s="62" t="s">
        <v>67</v>
      </c>
      <c r="W14" s="62"/>
      <c r="X14" s="62"/>
    </row>
    <row r="15" s="28" customFormat="1" ht="35" customHeight="1" spans="1:24">
      <c r="A15" s="61">
        <v>46133</v>
      </c>
      <c r="B15" s="51" t="s">
        <v>25</v>
      </c>
      <c r="C15" s="62" t="s">
        <v>68</v>
      </c>
      <c r="D15" s="53" t="s">
        <v>27</v>
      </c>
      <c r="E15" s="62" t="s">
        <v>69</v>
      </c>
      <c r="F15" s="62" t="s">
        <v>70</v>
      </c>
      <c r="G15" s="62">
        <v>88.08</v>
      </c>
      <c r="H15" s="62">
        <v>18.17</v>
      </c>
      <c r="I15" s="55">
        <f t="shared" si="0"/>
        <v>69.91</v>
      </c>
      <c r="J15" s="62"/>
      <c r="K15" s="56">
        <f t="shared" si="1"/>
        <v>0</v>
      </c>
      <c r="L15" s="57">
        <f t="shared" si="6"/>
        <v>0.310000000000002</v>
      </c>
      <c r="M15" s="62">
        <v>70.22</v>
      </c>
      <c r="N15" s="62">
        <v>0.875</v>
      </c>
      <c r="O15" s="57">
        <f t="shared" si="2"/>
        <v>69.345</v>
      </c>
      <c r="P15" s="62">
        <v>2202</v>
      </c>
      <c r="Q15" s="62"/>
      <c r="R15" s="62">
        <v>50</v>
      </c>
      <c r="S15" s="59">
        <f>ROUNDDOWN(O15*P15-Q15-R15,-1)</f>
        <v>152640</v>
      </c>
      <c r="T15" s="62">
        <v>142</v>
      </c>
      <c r="U15" s="62">
        <f t="shared" si="5"/>
        <v>9920</v>
      </c>
      <c r="V15" s="62"/>
      <c r="W15" s="62"/>
      <c r="X15" s="62"/>
    </row>
    <row r="16" s="28" customFormat="1" ht="35" customHeight="1" spans="1:24">
      <c r="A16" s="61">
        <v>46134</v>
      </c>
      <c r="B16" s="51" t="s">
        <v>25</v>
      </c>
      <c r="C16" s="52" t="s">
        <v>48</v>
      </c>
      <c r="D16" s="62" t="s">
        <v>49</v>
      </c>
      <c r="E16" s="62"/>
      <c r="F16" s="53" t="s">
        <v>60</v>
      </c>
      <c r="G16" s="62">
        <v>51.53</v>
      </c>
      <c r="H16" s="62">
        <v>15.91</v>
      </c>
      <c r="I16" s="55">
        <f t="shared" si="0"/>
        <v>35.62</v>
      </c>
      <c r="J16" s="62">
        <v>1820</v>
      </c>
      <c r="K16" s="56">
        <f t="shared" si="1"/>
        <v>64828.4</v>
      </c>
      <c r="L16" s="57">
        <f t="shared" si="6"/>
        <v>-0.0600000000000023</v>
      </c>
      <c r="M16" s="62">
        <v>35.56</v>
      </c>
      <c r="N16" s="62"/>
      <c r="O16" s="57">
        <f t="shared" si="2"/>
        <v>35.56</v>
      </c>
      <c r="P16" s="62">
        <f t="shared" si="7"/>
        <v>1820</v>
      </c>
      <c r="Q16" s="62">
        <v>0</v>
      </c>
      <c r="R16" s="62">
        <v>0</v>
      </c>
      <c r="S16" s="59">
        <f>ROUNDDOWN(O16*P16-Q16-R16,-1)</f>
        <v>64710</v>
      </c>
      <c r="T16" s="62">
        <v>80</v>
      </c>
      <c r="U16" s="62">
        <f t="shared" si="5"/>
        <v>2840</v>
      </c>
      <c r="V16" s="62"/>
      <c r="W16" s="62"/>
      <c r="X16" s="62"/>
    </row>
    <row r="17" s="28" customFormat="1" ht="35" customHeight="1" spans="1:24">
      <c r="A17" s="61">
        <v>46137</v>
      </c>
      <c r="B17" s="51" t="s">
        <v>25</v>
      </c>
      <c r="C17" s="62" t="s">
        <v>68</v>
      </c>
      <c r="D17" s="62" t="s">
        <v>49</v>
      </c>
      <c r="E17" s="62" t="s">
        <v>71</v>
      </c>
      <c r="F17" s="62" t="s">
        <v>70</v>
      </c>
      <c r="G17" s="62">
        <v>53.39</v>
      </c>
      <c r="H17" s="62">
        <v>16.31</v>
      </c>
      <c r="I17" s="55">
        <f t="shared" si="0"/>
        <v>37.08</v>
      </c>
      <c r="J17" s="62"/>
      <c r="K17" s="62"/>
      <c r="L17" s="53"/>
      <c r="M17" s="62">
        <v>70.24</v>
      </c>
      <c r="N17" s="62">
        <v>0.077</v>
      </c>
      <c r="O17" s="62">
        <f t="shared" si="2"/>
        <v>70.163</v>
      </c>
      <c r="P17" s="62">
        <v>2202</v>
      </c>
      <c r="Q17" s="62"/>
      <c r="R17" s="62">
        <v>50</v>
      </c>
      <c r="S17" s="65">
        <f>O17*P17-R17</f>
        <v>154448.926</v>
      </c>
      <c r="T17" s="62">
        <v>142</v>
      </c>
      <c r="U17" s="62">
        <f t="shared" si="5"/>
        <v>5260</v>
      </c>
      <c r="V17" s="62"/>
      <c r="W17" s="62"/>
      <c r="X17" s="62"/>
    </row>
    <row r="18" s="30" customFormat="1" ht="35" customHeight="1" spans="1:24">
      <c r="A18" s="61">
        <v>46137</v>
      </c>
      <c r="B18" s="51" t="s">
        <v>25</v>
      </c>
      <c r="C18" s="62" t="s">
        <v>68</v>
      </c>
      <c r="D18" s="62" t="s">
        <v>49</v>
      </c>
      <c r="E18" s="62"/>
      <c r="F18" s="62" t="s">
        <v>70</v>
      </c>
      <c r="G18" s="54">
        <v>49.11</v>
      </c>
      <c r="H18" s="54">
        <v>16.29</v>
      </c>
      <c r="I18" s="55">
        <f t="shared" si="0"/>
        <v>32.82</v>
      </c>
      <c r="J18" s="62"/>
      <c r="K18" s="62"/>
      <c r="L18" s="53"/>
      <c r="M18" s="62"/>
      <c r="N18" s="62"/>
      <c r="O18" s="62"/>
      <c r="P18" s="62"/>
      <c r="Q18" s="62"/>
      <c r="R18" s="62"/>
      <c r="S18" s="65"/>
      <c r="T18" s="66"/>
      <c r="U18" s="66"/>
      <c r="V18" s="66"/>
      <c r="W18" s="66"/>
      <c r="X18" s="66"/>
    </row>
    <row r="19" s="28" customFormat="1" ht="35" customHeight="1" spans="1:24">
      <c r="A19" s="61">
        <v>46139</v>
      </c>
      <c r="B19" s="51" t="s">
        <v>25</v>
      </c>
      <c r="C19" s="62" t="s">
        <v>59</v>
      </c>
      <c r="D19" s="53" t="s">
        <v>27</v>
      </c>
      <c r="E19" s="62"/>
      <c r="F19" s="62" t="s">
        <v>52</v>
      </c>
      <c r="G19" s="62">
        <v>65.64</v>
      </c>
      <c r="H19" s="62">
        <v>18.15</v>
      </c>
      <c r="I19" s="55">
        <f t="shared" si="0"/>
        <v>47.49</v>
      </c>
      <c r="J19" s="62"/>
      <c r="K19" s="67"/>
      <c r="L19" s="53"/>
      <c r="M19" s="62">
        <v>47.63</v>
      </c>
      <c r="N19" s="62">
        <v>0.58</v>
      </c>
      <c r="O19" s="62">
        <f>M19-N19</f>
        <v>47.05</v>
      </c>
      <c r="P19" s="62">
        <v>1969</v>
      </c>
      <c r="Q19" s="62"/>
      <c r="R19" s="62"/>
      <c r="S19" s="59">
        <f>P19*O19</f>
        <v>92641.45</v>
      </c>
      <c r="T19" s="54">
        <v>80</v>
      </c>
      <c r="U19" s="62">
        <f>ROUNDDOWN(I19*T19,-1)</f>
        <v>3790</v>
      </c>
      <c r="V19" s="62"/>
      <c r="W19" s="62"/>
      <c r="X19" s="62"/>
    </row>
    <row r="20" s="31" customFormat="1" ht="35" customHeight="1" spans="1:24">
      <c r="A20" s="68">
        <v>46142</v>
      </c>
      <c r="B20" s="52" t="s">
        <v>25</v>
      </c>
      <c r="C20" s="52" t="s">
        <v>48</v>
      </c>
      <c r="D20" s="53" t="s">
        <v>27</v>
      </c>
      <c r="E20" s="54"/>
      <c r="F20" s="53" t="s">
        <v>60</v>
      </c>
      <c r="G20" s="54">
        <v>51.03</v>
      </c>
      <c r="H20" s="54">
        <v>18.19</v>
      </c>
      <c r="I20" s="55">
        <f t="shared" si="0"/>
        <v>32.84</v>
      </c>
      <c r="J20" s="54">
        <v>1820</v>
      </c>
      <c r="K20" s="69"/>
      <c r="L20" s="70"/>
      <c r="M20" s="54">
        <v>32.8</v>
      </c>
      <c r="N20" s="54">
        <v>0</v>
      </c>
      <c r="O20" s="54">
        <v>0</v>
      </c>
      <c r="P20" s="54">
        <v>1820</v>
      </c>
      <c r="Q20" s="54">
        <v>0</v>
      </c>
      <c r="R20" s="54">
        <v>0</v>
      </c>
      <c r="S20" s="71">
        <f>ROUNDDOWN(M20*P20-N20-O20,-1)</f>
        <v>59690</v>
      </c>
      <c r="T20" s="54"/>
      <c r="U20" s="54"/>
      <c r="V20" s="54"/>
      <c r="W20" s="54"/>
      <c r="X20" s="54"/>
    </row>
    <row r="21" ht="35" customHeight="1" spans="1:24">
      <c r="A21" s="66"/>
      <c r="B21" s="66"/>
      <c r="C21" s="66"/>
      <c r="D21" s="66"/>
      <c r="E21" s="66"/>
      <c r="F21" s="66"/>
      <c r="G21" s="66"/>
      <c r="H21" s="66"/>
      <c r="I21" s="72"/>
      <c r="J21" s="66"/>
      <c r="K21" s="73"/>
      <c r="L21" s="74"/>
      <c r="M21" s="66"/>
      <c r="N21" s="66"/>
      <c r="O21" s="66"/>
      <c r="P21" s="66"/>
      <c r="Q21" s="66"/>
      <c r="R21" s="66"/>
      <c r="S21" s="75"/>
      <c r="T21" s="66"/>
      <c r="U21" s="66"/>
      <c r="V21" s="66"/>
      <c r="W21" s="66"/>
      <c r="X21" s="66"/>
    </row>
    <row r="22" ht="35" customHeight="1"/>
    <row r="23" ht="35" customHeight="1"/>
    <row r="24" ht="35" customHeight="1"/>
  </sheetData>
  <autoFilter xmlns:etc="http://www.wps.cn/officeDocument/2017/etCustomData" ref="A3:S20" etc:filterBottomFollowUsedRange="0">
    <extLst/>
  </autoFilter>
  <mergeCells count="20">
    <mergeCell ref="A1:X1"/>
    <mergeCell ref="G2:K2"/>
    <mergeCell ref="M2:S2"/>
    <mergeCell ref="A2:A3"/>
    <mergeCell ref="B2:B3"/>
    <mergeCell ref="C2:C3"/>
    <mergeCell ref="D2:D3"/>
    <mergeCell ref="E2:E3"/>
    <mergeCell ref="E17:E18"/>
    <mergeCell ref="F2:F3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"/>
  <sheetViews>
    <sheetView zoomScale="70" zoomScaleNormal="70" workbookViewId="0">
      <selection activeCell="A1" sqref="A1:V1"/>
    </sheetView>
  </sheetViews>
  <sheetFormatPr defaultColWidth="9" defaultRowHeight="30" customHeight="1"/>
  <cols>
    <col min="1" max="1" width="13.1296296296296" style="3" customWidth="1"/>
    <col min="2" max="2" width="13.8796296296296" style="3" hidden="1" customWidth="1"/>
    <col min="3" max="3" width="18" style="3" customWidth="1"/>
    <col min="4" max="4" width="16.1296296296296" style="3" customWidth="1"/>
    <col min="5" max="5" width="9" style="3"/>
    <col min="6" max="6" width="15.6296296296296" style="3" customWidth="1"/>
    <col min="7" max="11" width="9" style="3"/>
    <col min="12" max="12" width="9" style="3" hidden="1" customWidth="1"/>
    <col min="13" max="21" width="9" style="3"/>
    <col min="22" max="22" width="21.5833333333333" style="3" customWidth="1"/>
    <col min="23" max="16384" width="9" style="3"/>
  </cols>
  <sheetData>
    <row r="1" s="1" customFormat="1" ht="34" customHeight="1" spans="1:22">
      <c r="A1" s="4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s="2" customFormat="1" ht="21" customHeight="1" spans="1:2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8" t="s">
        <v>7</v>
      </c>
      <c r="H2" s="8"/>
      <c r="I2" s="8"/>
      <c r="J2" s="8"/>
      <c r="K2" s="9"/>
      <c r="L2" s="10"/>
      <c r="M2" s="10" t="s">
        <v>8</v>
      </c>
      <c r="N2" s="10"/>
      <c r="O2" s="10"/>
      <c r="P2" s="8"/>
      <c r="Q2" s="11"/>
      <c r="R2" s="8"/>
      <c r="S2" s="12"/>
      <c r="T2" s="13" t="s">
        <v>9</v>
      </c>
      <c r="U2" s="14"/>
      <c r="V2" s="14"/>
    </row>
    <row r="3" s="2" customFormat="1" ht="43" customHeight="1" spans="1:22">
      <c r="A3" s="7"/>
      <c r="B3" s="7"/>
      <c r="C3" s="7"/>
      <c r="D3" s="7"/>
      <c r="E3" s="7"/>
      <c r="F3" s="7"/>
      <c r="G3" s="15" t="s">
        <v>10</v>
      </c>
      <c r="H3" s="15" t="s">
        <v>11</v>
      </c>
      <c r="I3" s="15" t="s">
        <v>12</v>
      </c>
      <c r="J3" s="15" t="s">
        <v>13</v>
      </c>
      <c r="K3" s="16" t="s">
        <v>14</v>
      </c>
      <c r="L3" s="17" t="s">
        <v>15</v>
      </c>
      <c r="M3" s="17" t="s">
        <v>16</v>
      </c>
      <c r="N3" s="17" t="s">
        <v>17</v>
      </c>
      <c r="O3" s="17" t="s">
        <v>18</v>
      </c>
      <c r="P3" s="15" t="s">
        <v>19</v>
      </c>
      <c r="Q3" s="18" t="s">
        <v>20</v>
      </c>
      <c r="R3" s="15" t="s">
        <v>21</v>
      </c>
      <c r="S3" s="19" t="s">
        <v>55</v>
      </c>
      <c r="T3" s="13"/>
      <c r="U3" s="20" t="s">
        <v>23</v>
      </c>
      <c r="V3" s="20" t="s">
        <v>24</v>
      </c>
    </row>
    <row r="4" customHeight="1" spans="1:22">
      <c r="A4" s="21">
        <v>46146</v>
      </c>
      <c r="B4" s="22" t="s">
        <v>25</v>
      </c>
      <c r="C4" s="22" t="s">
        <v>73</v>
      </c>
      <c r="D4" s="22" t="s">
        <v>27</v>
      </c>
      <c r="E4" s="22"/>
      <c r="F4" s="22" t="s">
        <v>74</v>
      </c>
      <c r="G4" s="22">
        <v>88.33</v>
      </c>
      <c r="H4" s="22">
        <v>18.1</v>
      </c>
      <c r="I4" s="22">
        <f t="shared" ref="I4:I7" si="0">G4-H4</f>
        <v>70.23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>
        <v>142</v>
      </c>
      <c r="V4" s="22">
        <v>9970</v>
      </c>
    </row>
    <row r="5" customHeight="1" spans="1:22">
      <c r="A5" s="23">
        <v>46147</v>
      </c>
      <c r="B5" s="24"/>
      <c r="C5" s="24" t="s">
        <v>75</v>
      </c>
      <c r="D5" s="22" t="s">
        <v>27</v>
      </c>
      <c r="E5" s="22"/>
      <c r="F5" s="22" t="s">
        <v>76</v>
      </c>
      <c r="G5" s="22">
        <v>55.66</v>
      </c>
      <c r="H5" s="22">
        <v>18.17</v>
      </c>
      <c r="I5" s="22">
        <f t="shared" si="0"/>
        <v>37.49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 t="s">
        <v>56</v>
      </c>
      <c r="U5" s="22">
        <v>80</v>
      </c>
      <c r="V5" s="22">
        <v>2990</v>
      </c>
    </row>
    <row r="6" customHeight="1" spans="1:22">
      <c r="A6" s="21">
        <v>46148</v>
      </c>
      <c r="B6" s="22"/>
      <c r="C6" s="22" t="s">
        <v>50</v>
      </c>
      <c r="D6" s="22" t="s">
        <v>49</v>
      </c>
      <c r="E6" s="22"/>
      <c r="F6" s="22" t="s">
        <v>74</v>
      </c>
      <c r="G6" s="22">
        <v>50.86</v>
      </c>
      <c r="H6" s="22">
        <v>16.21</v>
      </c>
      <c r="I6" s="22">
        <f t="shared" si="0"/>
        <v>34.65</v>
      </c>
      <c r="J6" s="22">
        <v>2070</v>
      </c>
      <c r="K6" s="22"/>
      <c r="L6" s="22"/>
      <c r="M6" s="22">
        <v>34.72</v>
      </c>
      <c r="N6" s="22">
        <v>0</v>
      </c>
      <c r="O6" s="22">
        <v>0</v>
      </c>
      <c r="P6" s="22">
        <v>2050</v>
      </c>
      <c r="Q6" s="22">
        <v>0</v>
      </c>
      <c r="R6" s="22">
        <v>0</v>
      </c>
      <c r="S6" s="22">
        <v>71170</v>
      </c>
      <c r="T6" s="22"/>
      <c r="U6" s="22">
        <v>50</v>
      </c>
      <c r="V6" s="22">
        <v>1730</v>
      </c>
    </row>
    <row r="7" customHeight="1" spans="1:22">
      <c r="A7" s="21">
        <v>46150</v>
      </c>
      <c r="B7" s="22"/>
      <c r="C7" s="22" t="s">
        <v>77</v>
      </c>
      <c r="D7" s="22" t="s">
        <v>78</v>
      </c>
      <c r="E7" s="22"/>
      <c r="F7" s="22" t="s">
        <v>38</v>
      </c>
      <c r="G7" s="22">
        <v>58.85</v>
      </c>
      <c r="H7" s="22">
        <v>16.26</v>
      </c>
      <c r="I7" s="25">
        <f t="shared" si="0"/>
        <v>42.59</v>
      </c>
      <c r="J7" s="22">
        <v>42.59</v>
      </c>
      <c r="K7" s="22">
        <v>0</v>
      </c>
      <c r="L7" s="22">
        <v>0</v>
      </c>
      <c r="M7" s="22">
        <v>350</v>
      </c>
      <c r="N7" s="22">
        <v>0</v>
      </c>
      <c r="O7" s="22">
        <v>0</v>
      </c>
      <c r="P7" s="22">
        <f>ROUNDDOWN(J7*M7,-1)</f>
        <v>14900</v>
      </c>
      <c r="Q7" s="22"/>
      <c r="R7" s="22"/>
      <c r="S7" s="22"/>
      <c r="T7" s="22"/>
      <c r="U7" s="22">
        <v>0</v>
      </c>
      <c r="V7" s="22"/>
    </row>
    <row r="8" customHeight="1" spans="1:22">
      <c r="A8" s="23">
        <v>46160</v>
      </c>
      <c r="B8" s="24"/>
      <c r="C8" s="24" t="s">
        <v>75</v>
      </c>
      <c r="D8" s="22" t="s">
        <v>27</v>
      </c>
      <c r="E8" s="22"/>
      <c r="F8" s="22" t="s">
        <v>76</v>
      </c>
      <c r="G8" s="22">
        <v>50.55</v>
      </c>
      <c r="H8" s="22">
        <v>18.18</v>
      </c>
      <c r="I8" s="22">
        <f>G8-H8</f>
        <v>32.37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 t="s">
        <v>56</v>
      </c>
      <c r="U8" s="22">
        <v>80</v>
      </c>
      <c r="V8" s="22">
        <v>2580</v>
      </c>
    </row>
    <row r="9" customHeight="1" spans="1:22">
      <c r="A9" s="21">
        <v>46161</v>
      </c>
      <c r="B9" s="22"/>
      <c r="C9" s="22" t="s">
        <v>50</v>
      </c>
      <c r="D9" s="22" t="s">
        <v>79</v>
      </c>
      <c r="E9" s="22"/>
      <c r="F9" s="22" t="s">
        <v>74</v>
      </c>
      <c r="G9" s="22">
        <v>50.42</v>
      </c>
      <c r="H9" s="22">
        <v>15.75</v>
      </c>
      <c r="I9" s="22">
        <f>G9-H9</f>
        <v>34.67</v>
      </c>
      <c r="J9" s="22"/>
      <c r="K9" s="22"/>
      <c r="L9" s="22"/>
      <c r="M9" s="22">
        <v>35</v>
      </c>
      <c r="N9" s="22"/>
      <c r="O9" s="22"/>
      <c r="P9" s="22"/>
      <c r="Q9" s="22"/>
      <c r="R9" s="22"/>
      <c r="S9" s="22"/>
      <c r="T9" s="22"/>
      <c r="U9" s="22">
        <v>50</v>
      </c>
      <c r="V9" s="22">
        <v>1750</v>
      </c>
    </row>
  </sheetData>
  <mergeCells count="10">
    <mergeCell ref="A1:V1"/>
    <mergeCell ref="G2:K2"/>
    <mergeCell ref="M2:S2"/>
    <mergeCell ref="A2:A3"/>
    <mergeCell ref="B2:B3"/>
    <mergeCell ref="C2:C3"/>
    <mergeCell ref="D2:D3"/>
    <mergeCell ref="E2:E3"/>
    <mergeCell ref="F2:F3"/>
    <mergeCell ref="T2:T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1月</vt:lpstr>
      <vt:lpstr>2月</vt:lpstr>
      <vt:lpstr>3月</vt:lpstr>
      <vt:lpstr>4月</vt:lpstr>
      <vt:lpstr>5月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太阳</cp:lastModifiedBy>
  <dcterms:created xsi:type="dcterms:W3CDTF">2026-01-24T01:46:00Z</dcterms:created>
  <dcterms:modified xsi:type="dcterms:W3CDTF">2026-05-21T09:04:25Z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6B3704DB36D141BBAF98F0F20249729F_13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