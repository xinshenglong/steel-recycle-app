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4"/>
  </bookViews>
  <sheets>
    <sheet name="1月" sheetId="1" r:id="rId1"/>
    <sheet name="2月" sheetId="2" r:id="rId2"/>
    <sheet name="3月" sheetId="3" r:id="rId3"/>
    <sheet name="4月" sheetId="4" r:id="rId4"/>
    <sheet name="5月" sheetId="14" r:id="rId5"/>
  </sheets>
  <definedNames>
    <definedName name="_xlnm._FilterDatabase" localSheetId="0" hidden="1">'1月'!$A$4:$V$15</definedName>
    <definedName name="_xlnm._FilterDatabase" localSheetId="1" hidden="1">'2月'!$A$4:$V$11</definedName>
    <definedName name="_xlnm._FilterDatabase" localSheetId="2" hidden="1">'3月'!$B$4:$X$52</definedName>
    <definedName name="_xlnm._FilterDatabase" localSheetId="3" hidden="1">'4月'!$B$3:$X$102</definedName>
    <definedName name="_xlnm._FilterDatabase" localSheetId="4" hidden="1">'5月'!$B$3:$X$33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上一车少240公斤，这车自提吨位24.62-0.2=24.42公斤算</t>
        </r>
      </text>
    </comment>
    <comment ref="D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运费客户自己承担1000元</t>
        </r>
      </text>
    </comment>
  </commentList>
</comments>
</file>

<file path=xl/sharedStrings.xml><?xml version="1.0" encoding="utf-8"?>
<sst xmlns="http://schemas.openxmlformats.org/spreadsheetml/2006/main" count="909" uniqueCount="183">
  <si>
    <t>2026年1月份购进材料过磅台账</t>
  </si>
  <si>
    <t>提货重量</t>
  </si>
  <si>
    <t>回厂重量</t>
  </si>
  <si>
    <t>日期</t>
  </si>
  <si>
    <t>车牌</t>
  </si>
  <si>
    <t>供应商</t>
  </si>
  <si>
    <t>料型</t>
  </si>
  <si>
    <t>方式</t>
  </si>
  <si>
    <t>提货净重</t>
  </si>
  <si>
    <t>磅差</t>
  </si>
  <si>
    <t>毛重</t>
  </si>
  <si>
    <t>皮重</t>
  </si>
  <si>
    <t>净重</t>
  </si>
  <si>
    <t>扣杂</t>
  </si>
  <si>
    <t>实际净重</t>
  </si>
  <si>
    <t>单价</t>
  </si>
  <si>
    <t>运费</t>
  </si>
  <si>
    <t>扣杂前金额</t>
  </si>
  <si>
    <t>扣杂后金额</t>
  </si>
  <si>
    <t>未加运费</t>
  </si>
  <si>
    <t>实付金额</t>
  </si>
  <si>
    <t>付款人</t>
  </si>
  <si>
    <t>付款日期</t>
  </si>
  <si>
    <t>货车司机</t>
  </si>
  <si>
    <t>豫SF8998</t>
  </si>
  <si>
    <t>王传永</t>
  </si>
  <si>
    <t>油漆桶</t>
  </si>
  <si>
    <t>送厂</t>
  </si>
  <si>
    <t>沪A16158A</t>
  </si>
  <si>
    <t>范磊磊</t>
  </si>
  <si>
    <t>花盒子</t>
  </si>
  <si>
    <t>易长宏自提</t>
  </si>
  <si>
    <t>三轮车</t>
  </si>
  <si>
    <t>张秀丽</t>
  </si>
  <si>
    <t>二级原料</t>
  </si>
  <si>
    <t>豫SZ2369</t>
  </si>
  <si>
    <t>黄占芬</t>
  </si>
  <si>
    <t>三级原料</t>
  </si>
  <si>
    <t>周根自提</t>
  </si>
  <si>
    <t>胡庆刚</t>
  </si>
  <si>
    <t>豫AW6859</t>
  </si>
  <si>
    <t>张学芳</t>
  </si>
  <si>
    <t>豫S77830</t>
  </si>
  <si>
    <t>统四</t>
  </si>
  <si>
    <t>鲁L79157</t>
  </si>
  <si>
    <t>刘长江</t>
  </si>
  <si>
    <t>火烧铁料</t>
  </si>
  <si>
    <t>周倩倩</t>
  </si>
  <si>
    <t>刘志永</t>
  </si>
  <si>
    <t>鲁RV9214</t>
  </si>
  <si>
    <t>李军</t>
  </si>
  <si>
    <t>李新红</t>
  </si>
  <si>
    <t>鑫胜隆
（1200）</t>
  </si>
  <si>
    <t>2026年2月份购进材料过磅台账</t>
  </si>
  <si>
    <t>陈永健</t>
  </si>
  <si>
    <t>三级压块</t>
  </si>
  <si>
    <t>鑫盛隆（1260）</t>
  </si>
  <si>
    <t>张继海</t>
  </si>
  <si>
    <t>邓世翔</t>
  </si>
  <si>
    <t>鑫盛隆（1290）</t>
  </si>
  <si>
    <t>代付已还给他</t>
  </si>
  <si>
    <t>扣杂前平均值</t>
  </si>
  <si>
    <t>扣杂后平均值</t>
  </si>
  <si>
    <t>2026年3月份购进材料过磅台账</t>
  </si>
  <si>
    <t>袁业琴</t>
  </si>
  <si>
    <t>豫S5CM87</t>
  </si>
  <si>
    <t>匡海</t>
  </si>
  <si>
    <t>豫S77831</t>
  </si>
  <si>
    <t>电脑壳子</t>
  </si>
  <si>
    <t>秦元辉</t>
  </si>
  <si>
    <t>周岩厚自提</t>
  </si>
  <si>
    <t>王洋洋</t>
  </si>
  <si>
    <t>洋钉</t>
  </si>
  <si>
    <t>豫SQ3V31</t>
  </si>
  <si>
    <t>彭俊</t>
  </si>
  <si>
    <t>沈振明送厂</t>
  </si>
  <si>
    <t>詹家强</t>
  </si>
  <si>
    <t>皖K7322V</t>
  </si>
  <si>
    <t>江星</t>
  </si>
  <si>
    <t>豫Q538V6</t>
  </si>
  <si>
    <t>姜桂全
（叶俊领卡）</t>
  </si>
  <si>
    <t>电瓶车壳子</t>
  </si>
  <si>
    <t>豫SF9889</t>
  </si>
  <si>
    <t>陈世福
（甄乐乐卡）</t>
  </si>
  <si>
    <t>弹簧床</t>
  </si>
  <si>
    <t>周根送厂</t>
  </si>
  <si>
    <t>豫S627BC</t>
  </si>
  <si>
    <t>沈家武</t>
  </si>
  <si>
    <t>铁架子</t>
  </si>
  <si>
    <t>豫S1835K</t>
  </si>
  <si>
    <t>龙聪聪</t>
  </si>
  <si>
    <t>易长宏送厂</t>
  </si>
  <si>
    <t>豫SE6373</t>
  </si>
  <si>
    <t>李坤
（张鑫卡）</t>
  </si>
  <si>
    <t>豫A2825K</t>
  </si>
  <si>
    <t>邹高招</t>
  </si>
  <si>
    <t>破碎料</t>
  </si>
  <si>
    <t>豫SB5698</t>
  </si>
  <si>
    <t>张显明</t>
  </si>
  <si>
    <t>豫S29558</t>
  </si>
  <si>
    <t>刘志根</t>
  </si>
  <si>
    <t>王自成</t>
  </si>
  <si>
    <t>钢筋料</t>
  </si>
  <si>
    <t>豫SE8327</t>
  </si>
  <si>
    <t>宋守强</t>
  </si>
  <si>
    <t>铁皮彩瓦</t>
  </si>
  <si>
    <t>豫S917ND</t>
  </si>
  <si>
    <t>豫S918ND</t>
  </si>
  <si>
    <t>镀锌料</t>
  </si>
  <si>
    <t>豫SE3985</t>
  </si>
  <si>
    <t>王永文</t>
  </si>
  <si>
    <t>豫Q696CE</t>
  </si>
  <si>
    <t>张满成</t>
  </si>
  <si>
    <t>皖KEA659</t>
  </si>
  <si>
    <t>杨术叶</t>
  </si>
  <si>
    <t>豫S8038Y</t>
  </si>
  <si>
    <t>张鹏程</t>
  </si>
  <si>
    <t>2026年4月份购进材料过磅台账</t>
  </si>
  <si>
    <t>豫SB6610</t>
  </si>
  <si>
    <t>郭鹏辉</t>
  </si>
  <si>
    <t>豫SE6505</t>
  </si>
  <si>
    <t>王文强</t>
  </si>
  <si>
    <t>铁丝</t>
  </si>
  <si>
    <t>张灵振</t>
  </si>
  <si>
    <t>豫S26969</t>
  </si>
  <si>
    <t>董永</t>
  </si>
  <si>
    <t>詹家强送厂</t>
  </si>
  <si>
    <t>豫K7322V</t>
  </si>
  <si>
    <t>花盒子压块</t>
  </si>
  <si>
    <t>大冶退回</t>
  </si>
  <si>
    <t>豫S8035Y</t>
  </si>
  <si>
    <t>豫SQ8D31</t>
  </si>
  <si>
    <t>圆管</t>
  </si>
  <si>
    <t>豫SY1C13</t>
  </si>
  <si>
    <t>易开玉</t>
  </si>
  <si>
    <t>豫S191CU</t>
  </si>
  <si>
    <t>陈园园</t>
  </si>
  <si>
    <t>豫S627EC</t>
  </si>
  <si>
    <t>李迪勇</t>
  </si>
  <si>
    <t>皖KK0X63</t>
  </si>
  <si>
    <t>李敬</t>
  </si>
  <si>
    <t>赣C4M189</t>
  </si>
  <si>
    <t>吴高巍</t>
  </si>
  <si>
    <t>围栏</t>
  </si>
  <si>
    <t>钢架子</t>
  </si>
  <si>
    <t>豫S23035</t>
  </si>
  <si>
    <t>邹中远</t>
  </si>
  <si>
    <t>重废</t>
  </si>
  <si>
    <t>自行车架子</t>
  </si>
  <si>
    <t>豫Q7306D</t>
  </si>
  <si>
    <t>肖升章</t>
  </si>
  <si>
    <t>豫AS8067Y</t>
  </si>
  <si>
    <t>沈振明</t>
  </si>
  <si>
    <t>程杰</t>
  </si>
  <si>
    <t>陆春明</t>
  </si>
  <si>
    <t>马兆辉</t>
  </si>
  <si>
    <t>围栏、圆管</t>
  </si>
  <si>
    <t>纯彩瓦</t>
  </si>
  <si>
    <t>豫S2B886</t>
  </si>
  <si>
    <t>甘国喜</t>
  </si>
  <si>
    <t>樊大义</t>
  </si>
  <si>
    <t>豫S029FR</t>
  </si>
  <si>
    <t>纯花盒子压块</t>
  </si>
  <si>
    <t>鄂FGB165</t>
  </si>
  <si>
    <t>方管</t>
  </si>
  <si>
    <t>豫RW7589</t>
  </si>
  <si>
    <t>豫D029FR</t>
  </si>
  <si>
    <t>祁伟</t>
  </si>
  <si>
    <t>鲁Q759DV</t>
  </si>
  <si>
    <t>豫NP078L</t>
  </si>
  <si>
    <t>张秀荣</t>
  </si>
  <si>
    <t>豫RW7859</t>
  </si>
  <si>
    <t>殷勇</t>
  </si>
  <si>
    <t>孙成红</t>
  </si>
  <si>
    <t>豫RR5923</t>
  </si>
  <si>
    <t>岩棉接板</t>
  </si>
  <si>
    <t>00685</t>
  </si>
  <si>
    <t>陈世福</t>
  </si>
  <si>
    <t>2026年5月份购进材料过磅台账</t>
  </si>
  <si>
    <t>葛文倩</t>
  </si>
  <si>
    <t>李辉</t>
  </si>
  <si>
    <t>小汽车</t>
  </si>
  <si>
    <t>张修启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</si>
</sst>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.00_ "/>
    <numFmt numFmtId="178" formatCode="yyyy/m/d;@"/>
  </numFmts>
  <fonts count="3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  <scheme val="minor"/>
    </font>
    <font>
      <sz val="11"/>
      <color rgb="FF000000"/>
      <name val="宋体"/>
      <charset val="134"/>
    </font>
    <font>
      <b/>
      <sz val="18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Fill="1" applyBorder="1" applyAlignment="1">
      <alignment horizontal="left" vertical="center"/>
    </xf>
    <xf numFmtId="176" fontId="2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177" fontId="6" fillId="2" borderId="1" xfId="0" applyNumberFormat="1" applyFont="1" applyFill="1" applyBorder="1" applyAlignment="1">
      <alignment horizontal="center" vertical="center" wrapText="1"/>
    </xf>
    <xf numFmtId="177" fontId="7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8" fontId="8" fillId="2" borderId="1" xfId="0" applyNumberFormat="1" applyFont="1" applyFill="1" applyBorder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76" fontId="2" fillId="0" borderId="0" xfId="0" applyNumberFormat="1" applyFont="1" applyFill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58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58" fontId="9" fillId="0" borderId="2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6" fontId="2" fillId="0" borderId="0" xfId="0" applyNumberFormat="1" applyFont="1" applyFill="1" applyAlignment="1">
      <alignment horizontal="left" vertical="center"/>
    </xf>
    <xf numFmtId="177" fontId="0" fillId="0" borderId="0" xfId="0" applyNumberFormat="1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58" fontId="0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 wrapText="1"/>
    </xf>
    <xf numFmtId="177" fontId="6" fillId="2" borderId="3" xfId="0" applyNumberFormat="1" applyFont="1" applyFill="1" applyBorder="1" applyAlignment="1">
      <alignment horizontal="center" vertical="center" wrapText="1"/>
    </xf>
    <xf numFmtId="177" fontId="7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178" fontId="8" fillId="2" borderId="3" xfId="0" applyNumberFormat="1" applyFont="1" applyFill="1" applyBorder="1" applyAlignment="1">
      <alignment horizontal="center" vertical="center"/>
    </xf>
    <xf numFmtId="58" fontId="0" fillId="0" borderId="0" xfId="0" applyNumberForma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78" fontId="0" fillId="0" borderId="0" xfId="0" applyNumberFormat="1" applyFon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"/>
  <sheetViews>
    <sheetView showOutlineSymbols="0" topLeftCell="D3" workbookViewId="0">
      <selection activeCell="D1" sqref="D$1:D$1048576"/>
    </sheetView>
  </sheetViews>
  <sheetFormatPr defaultColWidth="9" defaultRowHeight="30" customHeight="1"/>
  <cols>
    <col min="1" max="1" width="11.25" style="1" customWidth="1"/>
    <col min="2" max="2" width="14.1296296296296" style="1" customWidth="1"/>
    <col min="3" max="3" width="12" style="1" customWidth="1"/>
    <col min="4" max="5" width="12.1296296296296" style="1" customWidth="1"/>
    <col min="6" max="7" width="9" style="1" customWidth="1"/>
    <col min="8" max="14" width="9" style="1"/>
    <col min="15" max="15" width="12.1296296296296" style="1" customWidth="1"/>
    <col min="16" max="16" width="11.25" style="1" customWidth="1"/>
    <col min="17" max="17" width="12.1296296296296" style="1" customWidth="1"/>
    <col min="18" max="19" width="9" style="1"/>
    <col min="20" max="20" width="11.75" style="1" customWidth="1"/>
    <col min="21" max="21" width="9" style="1"/>
    <col min="22" max="22" width="12.6296296296296" style="1"/>
    <col min="23" max="16384" width="9" style="1"/>
  </cols>
  <sheetData>
    <row r="1" s="1" customFormat="1" ht="9" customHeight="1" spans="1:22">
      <c r="T1" s="32"/>
    </row>
    <row r="2" s="1" customFormat="1" customHeight="1" spans="1:22">
      <c r="A2" s="5" t="s">
        <v>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6"/>
      <c r="P2" s="46"/>
      <c r="Q2" s="47"/>
      <c r="R2" s="48"/>
      <c r="S2" s="45"/>
      <c r="T2" s="7"/>
    </row>
    <row r="3" s="1" customFormat="1" ht="18" customHeight="1" spans="1:22">
      <c r="A3" s="49" t="s">
        <v>1</v>
      </c>
      <c r="B3" s="50"/>
      <c r="C3" s="50"/>
      <c r="D3" s="50"/>
      <c r="E3" s="50"/>
      <c r="F3" s="50"/>
      <c r="G3" s="50"/>
      <c r="H3" s="50" t="s">
        <v>2</v>
      </c>
      <c r="I3" s="50"/>
      <c r="J3" s="50"/>
      <c r="K3" s="50"/>
      <c r="L3" s="50"/>
      <c r="M3" s="51"/>
      <c r="N3" s="51"/>
      <c r="O3" s="6"/>
      <c r="P3" s="6"/>
      <c r="Q3" s="52"/>
      <c r="R3" s="51"/>
      <c r="S3" s="51"/>
      <c r="T3" s="7"/>
    </row>
    <row r="4" s="1" customFormat="1" customHeight="1" spans="1:22">
      <c r="A4" s="53" t="s">
        <v>3</v>
      </c>
      <c r="B4" s="53" t="s">
        <v>4</v>
      </c>
      <c r="C4" s="54" t="s">
        <v>5</v>
      </c>
      <c r="D4" s="53" t="s">
        <v>6</v>
      </c>
      <c r="E4" s="53" t="s">
        <v>7</v>
      </c>
      <c r="F4" s="54" t="s">
        <v>8</v>
      </c>
      <c r="G4" s="54" t="s">
        <v>9</v>
      </c>
      <c r="H4" s="54" t="s">
        <v>10</v>
      </c>
      <c r="I4" s="54" t="s">
        <v>11</v>
      </c>
      <c r="J4" s="54" t="s">
        <v>12</v>
      </c>
      <c r="K4" s="54" t="s">
        <v>13</v>
      </c>
      <c r="L4" s="54" t="s">
        <v>14</v>
      </c>
      <c r="M4" s="54" t="s">
        <v>15</v>
      </c>
      <c r="N4" s="54" t="s">
        <v>16</v>
      </c>
      <c r="O4" s="54" t="s">
        <v>17</v>
      </c>
      <c r="P4" s="54" t="s">
        <v>18</v>
      </c>
      <c r="Q4" s="55" t="s">
        <v>19</v>
      </c>
      <c r="R4" s="54" t="s">
        <v>20</v>
      </c>
      <c r="S4" s="56" t="s">
        <v>21</v>
      </c>
      <c r="T4" s="57" t="s">
        <v>22</v>
      </c>
      <c r="U4" s="1" t="s">
        <v>23</v>
      </c>
    </row>
    <row r="5" s="1" customFormat="1" customHeight="1" spans="1:22">
      <c r="A5" s="58">
        <v>46026</v>
      </c>
      <c r="B5" s="1" t="s">
        <v>24</v>
      </c>
      <c r="C5" s="1" t="s">
        <v>25</v>
      </c>
      <c r="D5" s="1" t="s">
        <v>26</v>
      </c>
      <c r="E5" s="1" t="s">
        <v>27</v>
      </c>
      <c r="H5" s="1">
        <v>3.52</v>
      </c>
      <c r="I5" s="1">
        <v>2.52</v>
      </c>
      <c r="J5" s="1">
        <f>H5-I5</f>
        <v>1</v>
      </c>
      <c r="K5" s="1">
        <v>0.03</v>
      </c>
      <c r="L5" s="1">
        <f>J5-K5</f>
        <v>0.97</v>
      </c>
      <c r="M5" s="1">
        <v>1300</v>
      </c>
      <c r="O5" s="1">
        <f>J5*M5</f>
        <v>1300</v>
      </c>
      <c r="P5" s="1">
        <f>L5*M5</f>
        <v>1261</v>
      </c>
      <c r="Q5" s="1">
        <f>ROUNDDOWN(L5*M5,-1)</f>
        <v>1260</v>
      </c>
      <c r="R5" s="1">
        <f>ROUNDDOWN(L5*M5+N5,-1)</f>
        <v>1260</v>
      </c>
      <c r="S5" s="59"/>
      <c r="T5" s="60"/>
    </row>
    <row r="6" s="1" customFormat="1" customHeight="1" spans="1:22">
      <c r="A6" s="58">
        <v>46026</v>
      </c>
      <c r="B6" s="1" t="s">
        <v>28</v>
      </c>
      <c r="C6" s="1" t="s">
        <v>29</v>
      </c>
      <c r="D6" s="1" t="s">
        <v>30</v>
      </c>
      <c r="E6" s="1" t="s">
        <v>31</v>
      </c>
      <c r="F6" s="1">
        <v>11.81</v>
      </c>
      <c r="G6" s="1">
        <f>J6-F6</f>
        <v>-0.0899999999999981</v>
      </c>
      <c r="H6" s="1">
        <v>31.03</v>
      </c>
      <c r="I6" s="1">
        <v>19.31</v>
      </c>
      <c r="J6" s="1">
        <f>H6-I6</f>
        <v>11.72</v>
      </c>
      <c r="K6" s="1">
        <v>0.3</v>
      </c>
      <c r="L6" s="1">
        <f>J6-K6</f>
        <v>11.42</v>
      </c>
      <c r="M6" s="1">
        <v>1380</v>
      </c>
      <c r="O6" s="1">
        <f>J6*M6</f>
        <v>16173.6</v>
      </c>
      <c r="P6" s="1">
        <f>L6*M6</f>
        <v>15759.6</v>
      </c>
      <c r="Q6" s="1">
        <f>ROUNDDOWN(F6*M6,-1)</f>
        <v>16290</v>
      </c>
      <c r="R6" s="1">
        <f>ROUNDDOWN(F6*M6+N6,-1)</f>
        <v>16290</v>
      </c>
    </row>
    <row r="7" s="1" customFormat="1" customHeight="1" spans="1:22">
      <c r="A7" s="58">
        <v>46026</v>
      </c>
      <c r="B7" s="1" t="s">
        <v>32</v>
      </c>
      <c r="C7" s="1" t="s">
        <v>33</v>
      </c>
      <c r="D7" s="1" t="s">
        <v>34</v>
      </c>
      <c r="E7" s="1" t="s">
        <v>27</v>
      </c>
      <c r="H7" s="1">
        <v>0.86</v>
      </c>
      <c r="I7" s="1">
        <v>0.41</v>
      </c>
      <c r="J7" s="1">
        <f>H7-I7</f>
        <v>0.45</v>
      </c>
      <c r="K7" s="1">
        <v>0</v>
      </c>
      <c r="L7" s="1">
        <f>J7-K7</f>
        <v>0.45</v>
      </c>
      <c r="M7" s="1">
        <v>1900</v>
      </c>
      <c r="O7" s="1">
        <f>J7*M7</f>
        <v>855</v>
      </c>
      <c r="P7" s="1">
        <f>L7*M7</f>
        <v>855</v>
      </c>
      <c r="Q7" s="1">
        <f t="shared" ref="Q7:Q12" si="0">ROUNDDOWN(L7*M7,-1)</f>
        <v>850</v>
      </c>
      <c r="R7" s="1">
        <f t="shared" ref="R7:R12" si="1">ROUNDDOWN(L7*M7+N7,-1)</f>
        <v>850</v>
      </c>
    </row>
    <row r="8" s="1" customFormat="1" customHeight="1" spans="1:22">
      <c r="A8" s="58">
        <v>46035</v>
      </c>
      <c r="B8" s="1" t="s">
        <v>24</v>
      </c>
      <c r="C8" s="1" t="s">
        <v>25</v>
      </c>
      <c r="D8" s="1" t="s">
        <v>26</v>
      </c>
      <c r="E8" s="1" t="s">
        <v>27</v>
      </c>
      <c r="H8" s="1">
        <v>3.51</v>
      </c>
      <c r="I8" s="1">
        <v>2.5</v>
      </c>
      <c r="J8" s="1">
        <f>H8-I8</f>
        <v>1.01</v>
      </c>
      <c r="K8" s="1">
        <v>0.03</v>
      </c>
      <c r="L8" s="1">
        <f>J8-K8</f>
        <v>0.98</v>
      </c>
      <c r="M8" s="1">
        <v>1300</v>
      </c>
      <c r="O8" s="1">
        <f>J8*M8</f>
        <v>1313</v>
      </c>
      <c r="P8" s="1">
        <f>L8*M8</f>
        <v>1274</v>
      </c>
      <c r="Q8" s="1">
        <f t="shared" si="0"/>
        <v>1270</v>
      </c>
      <c r="R8" s="1">
        <f t="shared" si="1"/>
        <v>1270</v>
      </c>
    </row>
    <row r="9" s="1" customFormat="1" customHeight="1" spans="1:22">
      <c r="A9" s="58">
        <v>46040</v>
      </c>
      <c r="B9" s="1" t="s">
        <v>35</v>
      </c>
      <c r="C9" s="1" t="s">
        <v>36</v>
      </c>
      <c r="D9" s="1" t="s">
        <v>37</v>
      </c>
      <c r="E9" s="1" t="s">
        <v>38</v>
      </c>
      <c r="F9" s="1">
        <v>18.83</v>
      </c>
      <c r="H9" s="1">
        <v>34.47</v>
      </c>
      <c r="I9" s="1">
        <v>15.91</v>
      </c>
      <c r="J9" s="1">
        <f t="shared" ref="J9:J19" si="2">H9-I9</f>
        <v>18.56</v>
      </c>
      <c r="K9" s="1">
        <v>1.35</v>
      </c>
      <c r="L9" s="1">
        <f t="shared" ref="L9:L19" si="3">J9-K9</f>
        <v>17.21</v>
      </c>
      <c r="M9" s="1">
        <v>1700</v>
      </c>
      <c r="N9" s="1">
        <v>1500</v>
      </c>
      <c r="O9" s="1">
        <f t="shared" ref="O9:O19" si="4">J9*M9</f>
        <v>31552</v>
      </c>
      <c r="P9" s="1">
        <f t="shared" ref="P9:P19" si="5">L9*M9</f>
        <v>29257</v>
      </c>
      <c r="Q9" s="1">
        <f t="shared" si="0"/>
        <v>29250</v>
      </c>
      <c r="R9" s="1">
        <f t="shared" si="1"/>
        <v>30750</v>
      </c>
      <c r="S9" s="59"/>
      <c r="T9" s="60"/>
      <c r="U9" s="1" t="s">
        <v>39</v>
      </c>
    </row>
    <row r="10" s="1" customFormat="1" customHeight="1" spans="1:22">
      <c r="A10" s="58">
        <v>46040</v>
      </c>
      <c r="B10" s="1" t="s">
        <v>40</v>
      </c>
      <c r="C10" s="1" t="s">
        <v>41</v>
      </c>
      <c r="D10" s="1" t="s">
        <v>37</v>
      </c>
      <c r="E10" s="1" t="s">
        <v>27</v>
      </c>
      <c r="H10" s="1">
        <v>26.41</v>
      </c>
      <c r="I10" s="1">
        <v>13.97</v>
      </c>
      <c r="J10" s="1">
        <f t="shared" si="2"/>
        <v>12.44</v>
      </c>
      <c r="K10" s="1">
        <v>0.5</v>
      </c>
      <c r="L10" s="1">
        <f t="shared" si="3"/>
        <v>11.94</v>
      </c>
      <c r="M10" s="1">
        <v>1750</v>
      </c>
      <c r="O10" s="1">
        <f t="shared" si="4"/>
        <v>21770</v>
      </c>
      <c r="P10" s="1">
        <f t="shared" si="5"/>
        <v>20895</v>
      </c>
      <c r="Q10" s="1">
        <f t="shared" si="0"/>
        <v>20890</v>
      </c>
      <c r="R10" s="1">
        <f t="shared" si="1"/>
        <v>20890</v>
      </c>
    </row>
    <row r="11" s="1" customFormat="1" customHeight="1" spans="1:22">
      <c r="A11" s="58">
        <v>46050</v>
      </c>
      <c r="B11" s="1" t="s">
        <v>40</v>
      </c>
      <c r="C11" s="1" t="s">
        <v>41</v>
      </c>
      <c r="D11" s="1" t="s">
        <v>37</v>
      </c>
      <c r="E11" s="1" t="s">
        <v>27</v>
      </c>
      <c r="H11" s="1">
        <v>23.74</v>
      </c>
      <c r="I11" s="61">
        <v>13.65</v>
      </c>
      <c r="J11" s="1">
        <f t="shared" si="2"/>
        <v>10.09</v>
      </c>
      <c r="K11" s="1">
        <v>0.05</v>
      </c>
      <c r="L11" s="1">
        <f t="shared" si="3"/>
        <v>10.04</v>
      </c>
      <c r="M11" s="1">
        <v>1750</v>
      </c>
      <c r="O11" s="1">
        <f t="shared" si="4"/>
        <v>17657.5</v>
      </c>
      <c r="P11" s="1">
        <f t="shared" si="5"/>
        <v>17570</v>
      </c>
      <c r="Q11" s="1">
        <f t="shared" si="0"/>
        <v>17570</v>
      </c>
      <c r="R11" s="1">
        <f t="shared" si="1"/>
        <v>17570</v>
      </c>
    </row>
    <row r="12" s="1" customFormat="1" customHeight="1" spans="1:22">
      <c r="A12" s="58">
        <v>46050</v>
      </c>
      <c r="B12" s="1" t="s">
        <v>42</v>
      </c>
      <c r="C12" s="1" t="s">
        <v>41</v>
      </c>
      <c r="D12" s="1" t="s">
        <v>43</v>
      </c>
      <c r="E12" s="1" t="s">
        <v>27</v>
      </c>
      <c r="H12" s="1">
        <v>10.34</v>
      </c>
      <c r="I12" s="1">
        <v>5.07</v>
      </c>
      <c r="J12" s="1">
        <f t="shared" si="2"/>
        <v>5.27</v>
      </c>
      <c r="K12" s="1">
        <v>0.12</v>
      </c>
      <c r="L12" s="1">
        <f t="shared" si="3"/>
        <v>5.15</v>
      </c>
      <c r="M12" s="1">
        <v>1450</v>
      </c>
      <c r="O12" s="1">
        <f t="shared" si="4"/>
        <v>7641.5</v>
      </c>
      <c r="P12" s="1">
        <f t="shared" si="5"/>
        <v>7467.5</v>
      </c>
      <c r="Q12" s="1">
        <f t="shared" si="0"/>
        <v>7460</v>
      </c>
      <c r="R12" s="1">
        <f t="shared" si="1"/>
        <v>7460</v>
      </c>
    </row>
    <row r="13" s="1" customFormat="1" customHeight="1" spans="1:22">
      <c r="A13" s="58">
        <v>46050</v>
      </c>
      <c r="B13" s="1" t="s">
        <v>44</v>
      </c>
      <c r="C13" s="1" t="s">
        <v>45</v>
      </c>
      <c r="D13" s="1" t="s">
        <v>46</v>
      </c>
      <c r="E13" s="1" t="s">
        <v>38</v>
      </c>
      <c r="F13" s="1">
        <v>32.97</v>
      </c>
      <c r="G13" s="1">
        <f>J13-F13</f>
        <v>0.0300000000000011</v>
      </c>
      <c r="H13" s="61">
        <v>49.16</v>
      </c>
      <c r="I13" s="1">
        <v>16.16</v>
      </c>
      <c r="J13" s="1">
        <f t="shared" si="2"/>
        <v>33</v>
      </c>
      <c r="K13" s="1">
        <v>0</v>
      </c>
      <c r="L13" s="1">
        <f t="shared" si="3"/>
        <v>33</v>
      </c>
      <c r="M13" s="1">
        <v>1150</v>
      </c>
      <c r="N13" s="1">
        <v>2470</v>
      </c>
      <c r="O13" s="1">
        <f t="shared" si="4"/>
        <v>37950</v>
      </c>
      <c r="P13" s="1">
        <f t="shared" si="5"/>
        <v>37950</v>
      </c>
      <c r="Q13" s="1">
        <f>ROUNDDOWN(F13*M13,-1)</f>
        <v>37910</v>
      </c>
      <c r="R13" s="1">
        <f>ROUNDDOWN(F13*M13+N13,-1)</f>
        <v>40380</v>
      </c>
      <c r="S13" s="1" t="s">
        <v>47</v>
      </c>
      <c r="T13" s="58">
        <v>46040</v>
      </c>
      <c r="U13" s="1" t="s">
        <v>48</v>
      </c>
    </row>
    <row r="14" s="1" customFormat="1" customHeight="1" spans="1:22">
      <c r="A14" s="58">
        <v>46050</v>
      </c>
      <c r="B14" s="1" t="s">
        <v>49</v>
      </c>
      <c r="C14" s="1" t="s">
        <v>45</v>
      </c>
      <c r="D14" s="1" t="s">
        <v>46</v>
      </c>
      <c r="E14" s="1" t="s">
        <v>38</v>
      </c>
      <c r="F14" s="1">
        <v>35.35</v>
      </c>
      <c r="G14" s="1">
        <f>J14-F14</f>
        <v>0.029999999999994</v>
      </c>
      <c r="H14" s="1">
        <v>51.41</v>
      </c>
      <c r="I14" s="1">
        <v>16.03</v>
      </c>
      <c r="J14" s="1">
        <f t="shared" si="2"/>
        <v>35.38</v>
      </c>
      <c r="K14" s="1">
        <v>0</v>
      </c>
      <c r="L14" s="1">
        <f t="shared" si="3"/>
        <v>35.38</v>
      </c>
      <c r="M14" s="1">
        <v>1150</v>
      </c>
      <c r="N14" s="1">
        <v>2820</v>
      </c>
      <c r="O14" s="1">
        <f t="shared" si="4"/>
        <v>40687</v>
      </c>
      <c r="P14" s="1">
        <f t="shared" si="5"/>
        <v>40687</v>
      </c>
      <c r="Q14" s="1">
        <f>ROUNDDOWN(F14*M14,-1)</f>
        <v>40650</v>
      </c>
      <c r="R14" s="1">
        <f>ROUNDDOWN(F14*M14+N14,-1)</f>
        <v>43470</v>
      </c>
      <c r="S14" s="1" t="s">
        <v>47</v>
      </c>
      <c r="T14" s="58">
        <v>46044</v>
      </c>
      <c r="U14" s="1" t="s">
        <v>50</v>
      </c>
      <c r="V14" s="61">
        <f>R16/J16</f>
        <v>1446.59453460952</v>
      </c>
    </row>
    <row r="15" s="1" customFormat="1" customHeight="1" spans="1:22">
      <c r="A15" s="58">
        <v>46050</v>
      </c>
      <c r="B15" s="1" t="s">
        <v>28</v>
      </c>
      <c r="C15" s="1" t="s">
        <v>51</v>
      </c>
      <c r="D15" s="1" t="s">
        <v>37</v>
      </c>
      <c r="E15" s="1" t="s">
        <v>38</v>
      </c>
      <c r="F15" s="1">
        <v>15.4</v>
      </c>
      <c r="G15" s="1">
        <f>J15-F15</f>
        <v>-0.140000000000002</v>
      </c>
      <c r="H15" s="1">
        <v>34.48</v>
      </c>
      <c r="I15" s="1">
        <v>19.22</v>
      </c>
      <c r="J15" s="1">
        <f t="shared" si="2"/>
        <v>15.26</v>
      </c>
      <c r="K15" s="1">
        <v>0</v>
      </c>
      <c r="L15" s="1">
        <f t="shared" si="3"/>
        <v>15.26</v>
      </c>
      <c r="M15" s="1">
        <v>1700</v>
      </c>
      <c r="N15" s="1">
        <v>2200</v>
      </c>
      <c r="O15" s="1">
        <f t="shared" si="4"/>
        <v>25942</v>
      </c>
      <c r="P15" s="1">
        <f t="shared" si="5"/>
        <v>25942</v>
      </c>
      <c r="Q15" s="1">
        <f>ROUNDDOWN(F15*M15,-1)</f>
        <v>26180</v>
      </c>
      <c r="R15" s="1">
        <f>ROUNDDOWN(F15*M15+N15,-1)</f>
        <v>28380</v>
      </c>
      <c r="S15" s="1" t="s">
        <v>47</v>
      </c>
      <c r="T15" s="60">
        <v>46049</v>
      </c>
      <c r="U15" s="62" t="s">
        <v>52</v>
      </c>
      <c r="V15" s="61">
        <f>R16/L16</f>
        <v>1470.87447108604</v>
      </c>
    </row>
    <row r="16" s="31" customFormat="1" customHeight="1" spans="1:22">
      <c r="J16" s="31">
        <f>SUBTOTAL(9,J5:J15)</f>
        <v>144.18</v>
      </c>
      <c r="K16" s="31">
        <f>SUBTOTAL(9,K5:K15)</f>
        <v>2.38</v>
      </c>
      <c r="L16" s="31">
        <f t="shared" ref="J16:R16" si="6">SUBTOTAL(9,L5:L15)</f>
        <v>141.8</v>
      </c>
      <c r="N16" s="31">
        <f t="shared" si="6"/>
        <v>8990</v>
      </c>
      <c r="O16" s="31">
        <f t="shared" si="6"/>
        <v>202841.6</v>
      </c>
      <c r="P16" s="31">
        <f t="shared" si="6"/>
        <v>198918.1</v>
      </c>
      <c r="Q16" s="31">
        <f t="shared" si="6"/>
        <v>199580</v>
      </c>
      <c r="R16" s="31">
        <f t="shared" si="6"/>
        <v>208570</v>
      </c>
    </row>
  </sheetData>
  <autoFilter xmlns:etc="http://www.wps.cn/officeDocument/2017/etCustomData" ref="A4:V15" etc:filterBottomFollowUsedRange="0">
    <extLst/>
  </autoFilter>
  <mergeCells count="3">
    <mergeCell ref="A2:S2"/>
    <mergeCell ref="A3:G3"/>
    <mergeCell ref="H3:L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showOutlineSymbols="0" workbookViewId="0">
      <selection activeCell="D1" sqref="D$1:D$1048576"/>
    </sheetView>
  </sheetViews>
  <sheetFormatPr defaultColWidth="9" defaultRowHeight="30" customHeight="1"/>
  <cols>
    <col min="1" max="1" width="11.25" style="1" customWidth="1"/>
    <col min="2" max="2" width="14.1296296296296" style="1" customWidth="1"/>
    <col min="3" max="3" width="12" style="1" customWidth="1"/>
    <col min="4" max="5" width="12.1296296296296" style="1" customWidth="1"/>
    <col min="6" max="7" width="9" style="1" customWidth="1"/>
    <col min="8" max="12" width="9" style="1"/>
    <col min="13" max="13" width="12.6296296296296" style="1"/>
    <col min="14" max="14" width="9" style="1"/>
    <col min="15" max="15" width="12.1296296296296" style="1" customWidth="1"/>
    <col min="16" max="16" width="11.25" style="1" customWidth="1"/>
    <col min="17" max="17" width="12.1296296296296" style="1" customWidth="1"/>
    <col min="18" max="19" width="9" style="1"/>
    <col min="20" max="20" width="11.75" style="1" customWidth="1"/>
    <col min="21" max="21" width="15.1296296296296" style="1" customWidth="1"/>
    <col min="22" max="22" width="17.6296296296296" style="1" customWidth="1"/>
    <col min="23" max="16384" width="9" style="1"/>
  </cols>
  <sheetData>
    <row r="1" s="1" customFormat="1" ht="9" customHeight="1" spans="1:22">
      <c r="T1" s="32"/>
    </row>
    <row r="2" s="1" customFormat="1" customHeight="1" spans="1:22">
      <c r="A2" s="5" t="s">
        <v>53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6"/>
      <c r="P2" s="46"/>
      <c r="Q2" s="47"/>
      <c r="R2" s="48"/>
      <c r="S2" s="45"/>
      <c r="T2" s="7"/>
    </row>
    <row r="3" s="1" customFormat="1" ht="21" customHeight="1" spans="1:22">
      <c r="A3" s="49" t="s">
        <v>1</v>
      </c>
      <c r="B3" s="50"/>
      <c r="C3" s="50"/>
      <c r="D3" s="50"/>
      <c r="E3" s="50"/>
      <c r="F3" s="50"/>
      <c r="G3" s="50"/>
      <c r="H3" s="50" t="s">
        <v>2</v>
      </c>
      <c r="I3" s="50"/>
      <c r="J3" s="50"/>
      <c r="K3" s="50"/>
      <c r="L3" s="50"/>
      <c r="M3" s="51"/>
      <c r="N3" s="51"/>
      <c r="O3" s="6"/>
      <c r="P3" s="6"/>
      <c r="Q3" s="52"/>
      <c r="R3" s="51"/>
      <c r="S3" s="51"/>
      <c r="T3" s="7"/>
    </row>
    <row r="4" s="1" customFormat="1" customHeight="1" spans="1:22">
      <c r="A4" s="53" t="s">
        <v>3</v>
      </c>
      <c r="B4" s="53" t="s">
        <v>4</v>
      </c>
      <c r="C4" s="54" t="s">
        <v>5</v>
      </c>
      <c r="D4" s="53" t="s">
        <v>6</v>
      </c>
      <c r="E4" s="53" t="s">
        <v>7</v>
      </c>
      <c r="F4" s="54" t="s">
        <v>8</v>
      </c>
      <c r="G4" s="54" t="s">
        <v>9</v>
      </c>
      <c r="H4" s="54" t="s">
        <v>10</v>
      </c>
      <c r="I4" s="54" t="s">
        <v>11</v>
      </c>
      <c r="J4" s="54" t="s">
        <v>12</v>
      </c>
      <c r="K4" s="54" t="s">
        <v>13</v>
      </c>
      <c r="L4" s="54" t="s">
        <v>14</v>
      </c>
      <c r="M4" s="54" t="s">
        <v>15</v>
      </c>
      <c r="N4" s="54" t="s">
        <v>16</v>
      </c>
      <c r="O4" s="54" t="s">
        <v>17</v>
      </c>
      <c r="P4" s="54" t="s">
        <v>18</v>
      </c>
      <c r="Q4" s="55" t="s">
        <v>19</v>
      </c>
      <c r="R4" s="54" t="s">
        <v>20</v>
      </c>
      <c r="S4" s="56" t="s">
        <v>21</v>
      </c>
      <c r="T4" s="57" t="s">
        <v>22</v>
      </c>
      <c r="U4" s="1" t="s">
        <v>23</v>
      </c>
    </row>
    <row r="5" s="1" customFormat="1" customHeight="1" spans="1:22">
      <c r="A5" s="58">
        <v>46057</v>
      </c>
      <c r="B5" s="1" t="s">
        <v>28</v>
      </c>
      <c r="C5" s="1" t="s">
        <v>54</v>
      </c>
      <c r="D5" s="1" t="s">
        <v>55</v>
      </c>
      <c r="E5" s="1" t="s">
        <v>38</v>
      </c>
      <c r="F5" s="1">
        <v>31.57</v>
      </c>
      <c r="G5" s="1">
        <f>J5-F5</f>
        <v>-0.130000000000003</v>
      </c>
      <c r="H5" s="1">
        <v>50.69</v>
      </c>
      <c r="I5" s="1">
        <v>19.25</v>
      </c>
      <c r="J5" s="1">
        <f>H5-I5</f>
        <v>31.44</v>
      </c>
      <c r="K5" s="1">
        <v>1</v>
      </c>
      <c r="L5" s="1">
        <f>J5-K5</f>
        <v>30.44</v>
      </c>
      <c r="M5" s="1">
        <v>1790</v>
      </c>
      <c r="N5" s="1">
        <v>1250</v>
      </c>
      <c r="O5" s="1">
        <f>J5*M5</f>
        <v>56277.6</v>
      </c>
      <c r="P5" s="1">
        <f>L5*M5</f>
        <v>54487.6</v>
      </c>
      <c r="Q5" s="1">
        <f>ROUNDDOWN(F5*M5,-1)</f>
        <v>56510</v>
      </c>
      <c r="R5" s="1">
        <f>ROUNDDOWN(F5*M5+N5,-1)</f>
        <v>57760</v>
      </c>
      <c r="S5" s="59" t="s">
        <v>47</v>
      </c>
      <c r="T5" s="60">
        <v>46053</v>
      </c>
      <c r="U5" s="1" t="s">
        <v>56</v>
      </c>
    </row>
    <row r="6" s="1" customFormat="1" customHeight="1" spans="1:22">
      <c r="A6" s="58">
        <v>46057</v>
      </c>
      <c r="B6" s="1" t="s">
        <v>42</v>
      </c>
      <c r="C6" s="1" t="s">
        <v>41</v>
      </c>
      <c r="D6" s="1" t="s">
        <v>43</v>
      </c>
      <c r="E6" s="1" t="s">
        <v>27</v>
      </c>
      <c r="H6" s="1">
        <v>11.03</v>
      </c>
      <c r="I6" s="1">
        <v>5.07</v>
      </c>
      <c r="J6" s="1">
        <f>H6-I6</f>
        <v>5.96</v>
      </c>
      <c r="K6" s="1">
        <v>0.3</v>
      </c>
      <c r="L6" s="1">
        <f>J6-K6</f>
        <v>5.66</v>
      </c>
      <c r="M6" s="1">
        <v>1400</v>
      </c>
      <c r="O6" s="1">
        <f>J6*M6</f>
        <v>8344</v>
      </c>
      <c r="P6" s="1">
        <f>L6*M6</f>
        <v>7924</v>
      </c>
      <c r="Q6" s="1">
        <f>ROUNDDOWN(L6*M6,-1)</f>
        <v>7920</v>
      </c>
      <c r="R6" s="1">
        <f>ROUNDDOWN(L6*M6+N6,-1)</f>
        <v>7920</v>
      </c>
    </row>
    <row r="7" s="1" customFormat="1" customHeight="1" spans="1:22">
      <c r="A7" s="58">
        <v>46057</v>
      </c>
      <c r="B7" s="1" t="s">
        <v>42</v>
      </c>
      <c r="C7" s="1" t="s">
        <v>41</v>
      </c>
      <c r="D7" s="1" t="s">
        <v>43</v>
      </c>
      <c r="E7" s="1" t="s">
        <v>27</v>
      </c>
      <c r="H7" s="1">
        <v>11.63</v>
      </c>
      <c r="I7" s="1">
        <v>5.06</v>
      </c>
      <c r="J7" s="1">
        <f>H7-I7</f>
        <v>6.57</v>
      </c>
      <c r="K7" s="1">
        <v>0.2</v>
      </c>
      <c r="L7" s="1">
        <f>J7-K7</f>
        <v>6.37</v>
      </c>
      <c r="M7" s="1">
        <v>1400</v>
      </c>
      <c r="O7" s="1">
        <f>J7*M7</f>
        <v>9198</v>
      </c>
      <c r="P7" s="1">
        <f>L7*M7</f>
        <v>8918</v>
      </c>
      <c r="Q7" s="1">
        <f>ROUNDDOWN(L7*M7,-1)</f>
        <v>8910</v>
      </c>
      <c r="R7" s="1">
        <f>ROUNDDOWN(L7*M7+N7,-1)</f>
        <v>8910</v>
      </c>
    </row>
    <row r="8" s="1" customFormat="1" customHeight="1" spans="1:22">
      <c r="A8" s="58">
        <v>46058</v>
      </c>
      <c r="B8" s="1" t="s">
        <v>28</v>
      </c>
      <c r="C8" s="1" t="s">
        <v>57</v>
      </c>
      <c r="D8" s="1" t="s">
        <v>55</v>
      </c>
      <c r="E8" s="1" t="s">
        <v>38</v>
      </c>
      <c r="F8" s="1">
        <v>32.37</v>
      </c>
      <c r="G8" s="1">
        <f>L8-F8</f>
        <v>-0.029999999999994</v>
      </c>
      <c r="H8" s="1">
        <v>51.57</v>
      </c>
      <c r="I8" s="1">
        <v>19.23</v>
      </c>
      <c r="J8" s="1">
        <f>H8-I8</f>
        <v>32.34</v>
      </c>
      <c r="L8" s="1">
        <f>J8-K8</f>
        <v>32.34</v>
      </c>
      <c r="M8" s="1">
        <v>1790</v>
      </c>
      <c r="N8" s="1">
        <v>1290</v>
      </c>
      <c r="O8" s="1">
        <f>J8*M8</f>
        <v>57888.6</v>
      </c>
      <c r="P8" s="1">
        <f>L8*M8</f>
        <v>57888.6</v>
      </c>
      <c r="Q8" s="1">
        <f>ROUNDDOWN(F8*M8,-1)</f>
        <v>57940</v>
      </c>
      <c r="R8" s="1">
        <f>ROUNDDOWN(F8*M8+N8,-1)</f>
        <v>59230</v>
      </c>
      <c r="S8" s="1" t="s">
        <v>58</v>
      </c>
      <c r="T8" s="32">
        <v>46057</v>
      </c>
      <c r="U8" s="1" t="s">
        <v>59</v>
      </c>
      <c r="V8" s="1" t="s">
        <v>60</v>
      </c>
    </row>
    <row r="9" s="1" customFormat="1" customHeight="1" spans="1:22">
      <c r="A9" s="58">
        <v>46062</v>
      </c>
      <c r="B9" s="1" t="s">
        <v>24</v>
      </c>
      <c r="C9" s="1" t="s">
        <v>25</v>
      </c>
      <c r="D9" s="1" t="s">
        <v>43</v>
      </c>
      <c r="E9" s="1" t="s">
        <v>27</v>
      </c>
      <c r="H9" s="1">
        <v>2.97</v>
      </c>
      <c r="I9" s="1">
        <v>2.57</v>
      </c>
      <c r="J9" s="1">
        <f>H9-I9</f>
        <v>0.4</v>
      </c>
      <c r="K9" s="1">
        <v>0.03</v>
      </c>
      <c r="L9" s="1">
        <f>J9-K9</f>
        <v>0.37</v>
      </c>
      <c r="M9" s="1">
        <v>1300</v>
      </c>
      <c r="O9" s="1">
        <f>J9*M9</f>
        <v>520</v>
      </c>
      <c r="P9" s="1">
        <f>L9*M9</f>
        <v>481</v>
      </c>
      <c r="Q9" s="1">
        <f>ROUNDDOWN(L9*M9,-1)</f>
        <v>480</v>
      </c>
      <c r="R9" s="1">
        <f>ROUNDDOWN(L9*M9+N9,-1)</f>
        <v>480</v>
      </c>
      <c r="S9" s="59"/>
      <c r="T9" s="60"/>
    </row>
    <row r="10" s="31" customFormat="1" customHeight="1" spans="1:22">
      <c r="J10" s="31">
        <f>SUBTOTAL(9,J5:J9)</f>
        <v>76.71</v>
      </c>
      <c r="L10" s="31">
        <f t="shared" ref="J10:R10" si="0">SUBTOTAL(9,L5:L9)</f>
        <v>75.18</v>
      </c>
      <c r="N10" s="31">
        <f t="shared" si="0"/>
        <v>2540</v>
      </c>
      <c r="O10" s="31">
        <f t="shared" si="0"/>
        <v>132228.2</v>
      </c>
      <c r="P10" s="31">
        <f t="shared" si="0"/>
        <v>129699.2</v>
      </c>
      <c r="Q10" s="31">
        <f t="shared" si="0"/>
        <v>131760</v>
      </c>
      <c r="R10" s="31">
        <f t="shared" si="0"/>
        <v>134300</v>
      </c>
    </row>
    <row r="11" s="1" customFormat="1" customHeight="1" spans="1:22">
      <c r="O11" s="61">
        <f>R10/J10</f>
        <v>1750.74957632642</v>
      </c>
      <c r="P11" s="61">
        <f>R10/L10</f>
        <v>1786.37935621176</v>
      </c>
    </row>
  </sheetData>
  <autoFilter xmlns:etc="http://www.wps.cn/officeDocument/2017/etCustomData" ref="A4:V11" etc:filterBottomFollowUsedRange="0">
    <extLst/>
  </autoFilter>
  <mergeCells count="3">
    <mergeCell ref="A2:S2"/>
    <mergeCell ref="A3:G3"/>
    <mergeCell ref="H3:L3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1:X53"/>
  <sheetViews>
    <sheetView showOutlineSymbols="0" workbookViewId="0">
      <pane ySplit="4" topLeftCell="A5" activePane="bottomLeft" state="frozen"/>
      <selection/>
      <selection pane="bottomLeft" activeCell="E1" sqref="E$1:E$1048576"/>
    </sheetView>
  </sheetViews>
  <sheetFormatPr defaultColWidth="9" defaultRowHeight="30" customHeight="1"/>
  <cols>
    <col min="1" max="1" width="1.75" style="1" customWidth="1"/>
    <col min="2" max="2" width="11.25" style="1" customWidth="1"/>
    <col min="3" max="3" width="14.1296296296296" style="1" customWidth="1"/>
    <col min="4" max="4" width="12" style="1" customWidth="1"/>
    <col min="5" max="6" width="12.1296296296296" style="1" customWidth="1"/>
    <col min="7" max="8" width="9" style="1" customWidth="1"/>
    <col min="9" max="13" width="9" style="1"/>
    <col min="14" max="14" width="12.6296296296296" style="1"/>
    <col min="15" max="15" width="9" style="1"/>
    <col min="16" max="16" width="12.1296296296296" style="1" customWidth="1"/>
    <col min="17" max="17" width="13.75" style="1" customWidth="1"/>
    <col min="18" max="18" width="12.1296296296296" style="1" customWidth="1"/>
    <col min="19" max="20" width="9" style="1"/>
    <col min="21" max="21" width="11.75" style="32" customWidth="1"/>
    <col min="22" max="22" width="15.1296296296296" style="1" customWidth="1"/>
    <col min="23" max="24" width="9.37962962962963" style="1"/>
    <col min="25" max="16384" width="9" style="1"/>
  </cols>
  <sheetData>
    <row r="1" s="1" customFormat="1" ht="21" customHeight="1" spans="2:24">
      <c r="P1" s="1" t="s">
        <v>61</v>
      </c>
      <c r="Q1" s="1" t="s">
        <v>62</v>
      </c>
      <c r="U1" s="32"/>
    </row>
    <row r="2" s="1" customFormat="1" ht="28" customHeight="1" spans="2:24">
      <c r="B2" s="33" t="s">
        <v>63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4">
        <f>S53/K53</f>
        <v>1663.26302452113</v>
      </c>
      <c r="Q2" s="34">
        <f>S53/M53</f>
        <v>1689.58207147184</v>
      </c>
      <c r="R2" s="23"/>
      <c r="S2" s="23"/>
      <c r="T2" s="23"/>
      <c r="U2" s="7"/>
    </row>
    <row r="3" s="1" customFormat="1" ht="21" customHeight="1" spans="2:24">
      <c r="B3" s="8" t="s">
        <v>1</v>
      </c>
      <c r="C3" s="9"/>
      <c r="D3" s="9"/>
      <c r="E3" s="9"/>
      <c r="F3" s="9"/>
      <c r="G3" s="9"/>
      <c r="H3" s="9"/>
      <c r="I3" s="9" t="s">
        <v>2</v>
      </c>
      <c r="J3" s="9"/>
      <c r="K3" s="9"/>
      <c r="L3" s="9"/>
      <c r="M3" s="9"/>
      <c r="N3" s="10"/>
      <c r="O3" s="10"/>
      <c r="P3" s="11"/>
      <c r="Q3" s="11"/>
      <c r="R3" s="12"/>
      <c r="S3" s="10"/>
      <c r="T3" s="10"/>
      <c r="U3" s="13"/>
      <c r="V3" s="14"/>
      <c r="W3" s="14"/>
      <c r="X3" s="14"/>
    </row>
    <row r="4" s="1" customFormat="1" customHeight="1" spans="2:24">
      <c r="B4" s="15" t="s">
        <v>3</v>
      </c>
      <c r="C4" s="15" t="s">
        <v>4</v>
      </c>
      <c r="D4" s="16" t="s">
        <v>5</v>
      </c>
      <c r="E4" s="15" t="s">
        <v>6</v>
      </c>
      <c r="F4" s="15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6" t="s">
        <v>13</v>
      </c>
      <c r="M4" s="16" t="s">
        <v>14</v>
      </c>
      <c r="N4" s="16" t="s">
        <v>15</v>
      </c>
      <c r="O4" s="16" t="s">
        <v>16</v>
      </c>
      <c r="P4" s="16" t="s">
        <v>17</v>
      </c>
      <c r="Q4" s="16" t="s">
        <v>18</v>
      </c>
      <c r="R4" s="17" t="s">
        <v>19</v>
      </c>
      <c r="S4" s="16" t="s">
        <v>20</v>
      </c>
      <c r="T4" s="18" t="s">
        <v>21</v>
      </c>
      <c r="U4" s="19" t="s">
        <v>22</v>
      </c>
      <c r="V4" s="14" t="s">
        <v>23</v>
      </c>
      <c r="W4" s="14"/>
      <c r="X4" s="14"/>
    </row>
    <row r="5" s="1" customFormat="1" customHeight="1" spans="2:24">
      <c r="B5" s="35">
        <v>46093</v>
      </c>
      <c r="C5" s="14" t="s">
        <v>32</v>
      </c>
      <c r="D5" s="14" t="s">
        <v>64</v>
      </c>
      <c r="E5" s="14" t="s">
        <v>43</v>
      </c>
      <c r="F5" s="14" t="s">
        <v>27</v>
      </c>
      <c r="G5" s="14"/>
      <c r="H5" s="14"/>
      <c r="I5" s="14">
        <v>1.93</v>
      </c>
      <c r="J5" s="14">
        <v>0.87</v>
      </c>
      <c r="K5" s="14">
        <f t="shared" ref="K5:K15" si="0">I5-J5</f>
        <v>1.06</v>
      </c>
      <c r="L5" s="14">
        <v>0.03</v>
      </c>
      <c r="M5" s="14">
        <f t="shared" ref="M5:M15" si="1">K5-L5</f>
        <v>1.03</v>
      </c>
      <c r="N5" s="14">
        <v>1350</v>
      </c>
      <c r="O5" s="14"/>
      <c r="P5" s="14">
        <f t="shared" ref="P5:P15" si="2">K5*N5</f>
        <v>1431</v>
      </c>
      <c r="Q5" s="14">
        <f t="shared" ref="Q5:Q15" si="3">M5*N5</f>
        <v>1390.5</v>
      </c>
      <c r="R5" s="14">
        <f>ROUNDDOWN(M5*N5,-1)</f>
        <v>1390</v>
      </c>
      <c r="S5" s="14">
        <f>ROUNDDOWN(M5*N5+O5,-1)</f>
        <v>1390</v>
      </c>
      <c r="T5" s="36"/>
      <c r="U5" s="37"/>
      <c r="V5" s="14"/>
      <c r="W5" s="14"/>
      <c r="X5" s="14"/>
    </row>
    <row r="6" s="1" customFormat="1" customHeight="1" spans="2:24">
      <c r="B6" s="35">
        <v>46094</v>
      </c>
      <c r="C6" s="14" t="s">
        <v>65</v>
      </c>
      <c r="D6" s="14" t="s">
        <v>66</v>
      </c>
      <c r="E6" s="14" t="s">
        <v>37</v>
      </c>
      <c r="F6" s="14" t="s">
        <v>27</v>
      </c>
      <c r="G6" s="14"/>
      <c r="H6" s="14"/>
      <c r="I6" s="14">
        <v>2.83</v>
      </c>
      <c r="J6" s="14">
        <v>1.84</v>
      </c>
      <c r="K6" s="14">
        <f t="shared" si="0"/>
        <v>0.99</v>
      </c>
      <c r="L6" s="14">
        <v>0.01</v>
      </c>
      <c r="M6" s="14">
        <f t="shared" si="1"/>
        <v>0.98</v>
      </c>
      <c r="N6" s="14">
        <v>1800</v>
      </c>
      <c r="O6" s="14"/>
      <c r="P6" s="14">
        <f t="shared" si="2"/>
        <v>1782</v>
      </c>
      <c r="Q6" s="14">
        <f t="shared" si="3"/>
        <v>1764</v>
      </c>
      <c r="R6" s="14">
        <f t="shared" ref="R6:R15" si="4">ROUNDDOWN(M6*N6,-1)</f>
        <v>1760</v>
      </c>
      <c r="S6" s="14">
        <f t="shared" ref="S6:S15" si="5">ROUNDDOWN(M6*N6+O6,-1)</f>
        <v>1760</v>
      </c>
      <c r="T6" s="14" t="s">
        <v>47</v>
      </c>
      <c r="U6" s="38">
        <v>46094</v>
      </c>
      <c r="V6" s="14"/>
      <c r="W6" s="14"/>
      <c r="X6" s="14"/>
    </row>
    <row r="7" s="1" customFormat="1" customHeight="1" spans="2:24">
      <c r="B7" s="35">
        <v>46094</v>
      </c>
      <c r="C7" s="14" t="s">
        <v>42</v>
      </c>
      <c r="D7" s="14" t="s">
        <v>41</v>
      </c>
      <c r="E7" s="14" t="s">
        <v>37</v>
      </c>
      <c r="F7" s="14" t="s">
        <v>27</v>
      </c>
      <c r="G7" s="14"/>
      <c r="H7" s="14"/>
      <c r="I7" s="14">
        <v>12.2</v>
      </c>
      <c r="J7" s="14">
        <v>5.04</v>
      </c>
      <c r="K7" s="14">
        <f t="shared" si="0"/>
        <v>7.16</v>
      </c>
      <c r="L7" s="14">
        <v>0.1</v>
      </c>
      <c r="M7" s="14">
        <f t="shared" si="1"/>
        <v>7.06</v>
      </c>
      <c r="N7" s="14">
        <v>1750</v>
      </c>
      <c r="O7" s="14"/>
      <c r="P7" s="14">
        <f t="shared" si="2"/>
        <v>12530</v>
      </c>
      <c r="Q7" s="14">
        <f t="shared" si="3"/>
        <v>12355</v>
      </c>
      <c r="R7" s="14">
        <f t="shared" si="4"/>
        <v>12350</v>
      </c>
      <c r="S7" s="14">
        <f t="shared" si="5"/>
        <v>12350</v>
      </c>
      <c r="T7" s="14"/>
      <c r="U7" s="38"/>
      <c r="V7" s="14"/>
      <c r="W7" s="14"/>
      <c r="X7" s="14"/>
    </row>
    <row r="8" s="1" customFormat="1" customHeight="1" spans="2:24">
      <c r="B8" s="35">
        <v>46094</v>
      </c>
      <c r="C8" s="14" t="s">
        <v>67</v>
      </c>
      <c r="D8" s="14" t="s">
        <v>41</v>
      </c>
      <c r="E8" s="14" t="s">
        <v>68</v>
      </c>
      <c r="F8" s="14" t="s">
        <v>27</v>
      </c>
      <c r="G8" s="14"/>
      <c r="H8" s="14"/>
      <c r="I8" s="14">
        <v>9.55</v>
      </c>
      <c r="J8" s="14">
        <v>5.05</v>
      </c>
      <c r="K8" s="14">
        <f t="shared" si="0"/>
        <v>4.5</v>
      </c>
      <c r="L8" s="14">
        <v>0.04</v>
      </c>
      <c r="M8" s="14">
        <f t="shared" si="1"/>
        <v>4.46</v>
      </c>
      <c r="N8" s="14">
        <v>1880</v>
      </c>
      <c r="O8" s="14"/>
      <c r="P8" s="14">
        <f t="shared" si="2"/>
        <v>8460</v>
      </c>
      <c r="Q8" s="14">
        <f t="shared" si="3"/>
        <v>8384.8</v>
      </c>
      <c r="R8" s="14">
        <f t="shared" si="4"/>
        <v>8380</v>
      </c>
      <c r="S8" s="14">
        <f t="shared" si="5"/>
        <v>8380</v>
      </c>
      <c r="T8" s="14"/>
      <c r="U8" s="38"/>
      <c r="V8" s="14"/>
      <c r="W8" s="14"/>
      <c r="X8" s="14"/>
    </row>
    <row r="9" s="1" customFormat="1" customHeight="1" spans="2:24">
      <c r="B9" s="35">
        <v>46094</v>
      </c>
      <c r="C9" s="14" t="s">
        <v>40</v>
      </c>
      <c r="D9" s="14" t="s">
        <v>69</v>
      </c>
      <c r="E9" s="14" t="s">
        <v>37</v>
      </c>
      <c r="F9" s="14" t="s">
        <v>70</v>
      </c>
      <c r="G9" s="14">
        <v>14.24</v>
      </c>
      <c r="H9" s="14">
        <f>K9-G9</f>
        <v>0.0299999999999994</v>
      </c>
      <c r="I9" s="14">
        <v>27.93</v>
      </c>
      <c r="J9" s="14">
        <v>13.66</v>
      </c>
      <c r="K9" s="14">
        <f t="shared" si="0"/>
        <v>14.27</v>
      </c>
      <c r="L9" s="14">
        <v>0</v>
      </c>
      <c r="M9" s="14">
        <f t="shared" si="1"/>
        <v>14.27</v>
      </c>
      <c r="N9" s="14">
        <v>1870</v>
      </c>
      <c r="O9" s="14"/>
      <c r="P9" s="14">
        <f t="shared" si="2"/>
        <v>26684.9</v>
      </c>
      <c r="Q9" s="14">
        <f t="shared" si="3"/>
        <v>26684.9</v>
      </c>
      <c r="R9" s="14">
        <f>ROUNDDOWN(G9*N9,-1)</f>
        <v>26620</v>
      </c>
      <c r="S9" s="14">
        <f>ROUNDDOWN(G9*N9+O9,-1)</f>
        <v>26620</v>
      </c>
      <c r="T9" s="36" t="s">
        <v>71</v>
      </c>
      <c r="U9" s="37">
        <v>46094</v>
      </c>
      <c r="V9" s="14"/>
      <c r="W9" s="14"/>
      <c r="X9" s="14"/>
    </row>
    <row r="10" s="1" customFormat="1" customHeight="1" spans="2:24">
      <c r="B10" s="35">
        <v>46100</v>
      </c>
      <c r="C10" s="14" t="s">
        <v>40</v>
      </c>
      <c r="D10" s="14" t="s">
        <v>69</v>
      </c>
      <c r="E10" s="14" t="s">
        <v>37</v>
      </c>
      <c r="F10" s="14" t="s">
        <v>70</v>
      </c>
      <c r="G10" s="14">
        <v>27.3</v>
      </c>
      <c r="H10" s="14">
        <f>K10-G10</f>
        <v>-0.0499999999999972</v>
      </c>
      <c r="I10" s="14">
        <v>40.95</v>
      </c>
      <c r="J10" s="39">
        <v>13.7</v>
      </c>
      <c r="K10" s="14">
        <f t="shared" si="0"/>
        <v>27.25</v>
      </c>
      <c r="L10" s="14">
        <v>1.36</v>
      </c>
      <c r="M10" s="14">
        <f t="shared" si="1"/>
        <v>25.89</v>
      </c>
      <c r="N10" s="14">
        <v>1740</v>
      </c>
      <c r="O10" s="14"/>
      <c r="P10" s="14">
        <f t="shared" si="2"/>
        <v>47415</v>
      </c>
      <c r="Q10" s="14">
        <f t="shared" si="3"/>
        <v>45048.6</v>
      </c>
      <c r="R10" s="14">
        <f>ROUNDDOWN(G10*N10,-1)</f>
        <v>47500</v>
      </c>
      <c r="S10" s="14">
        <f>ROUNDDOWN(G10*N10+O10,-1)</f>
        <v>47500</v>
      </c>
      <c r="T10" s="36" t="s">
        <v>71</v>
      </c>
      <c r="U10" s="38">
        <v>46095</v>
      </c>
      <c r="V10" s="14"/>
      <c r="W10" s="14"/>
      <c r="X10" s="14"/>
    </row>
    <row r="11" s="1" customFormat="1" customHeight="1" spans="2:24">
      <c r="B11" s="35">
        <v>46100</v>
      </c>
      <c r="C11" s="14" t="s">
        <v>42</v>
      </c>
      <c r="D11" s="14" t="s">
        <v>41</v>
      </c>
      <c r="E11" s="14" t="s">
        <v>72</v>
      </c>
      <c r="F11" s="14" t="s">
        <v>27</v>
      </c>
      <c r="G11" s="14"/>
      <c r="H11" s="14"/>
      <c r="I11" s="14">
        <v>19.8</v>
      </c>
      <c r="J11" s="39">
        <v>5.05</v>
      </c>
      <c r="K11" s="14">
        <f t="shared" si="0"/>
        <v>14.75</v>
      </c>
      <c r="L11" s="14">
        <v>0.8</v>
      </c>
      <c r="M11" s="14">
        <f t="shared" si="1"/>
        <v>13.95</v>
      </c>
      <c r="N11" s="14">
        <v>1200</v>
      </c>
      <c r="O11" s="14"/>
      <c r="P11" s="14">
        <f t="shared" si="2"/>
        <v>17700</v>
      </c>
      <c r="Q11" s="14">
        <f t="shared" si="3"/>
        <v>16740</v>
      </c>
      <c r="R11" s="14">
        <f t="shared" si="4"/>
        <v>16740</v>
      </c>
      <c r="S11" s="14">
        <f t="shared" si="5"/>
        <v>16740</v>
      </c>
      <c r="T11" s="14"/>
      <c r="U11" s="38"/>
      <c r="V11" s="14"/>
      <c r="W11" s="14"/>
      <c r="X11" s="14"/>
    </row>
    <row r="12" s="1" customFormat="1" customHeight="1" spans="2:24">
      <c r="B12" s="35">
        <v>46100</v>
      </c>
      <c r="C12" s="14" t="s">
        <v>42</v>
      </c>
      <c r="D12" s="14" t="s">
        <v>41</v>
      </c>
      <c r="E12" s="14" t="s">
        <v>43</v>
      </c>
      <c r="F12" s="14" t="s">
        <v>27</v>
      </c>
      <c r="G12" s="14"/>
      <c r="H12" s="14"/>
      <c r="I12" s="14">
        <v>10.04</v>
      </c>
      <c r="J12" s="14">
        <v>5.08</v>
      </c>
      <c r="K12" s="14">
        <f t="shared" si="0"/>
        <v>4.96</v>
      </c>
      <c r="L12" s="14">
        <v>0.2</v>
      </c>
      <c r="M12" s="14">
        <f t="shared" si="1"/>
        <v>4.76</v>
      </c>
      <c r="N12" s="14">
        <v>1430</v>
      </c>
      <c r="O12" s="14"/>
      <c r="P12" s="14">
        <f t="shared" si="2"/>
        <v>7092.8</v>
      </c>
      <c r="Q12" s="14">
        <f t="shared" si="3"/>
        <v>6806.8</v>
      </c>
      <c r="R12" s="14">
        <f t="shared" si="4"/>
        <v>6800</v>
      </c>
      <c r="S12" s="14">
        <f t="shared" si="5"/>
        <v>6800</v>
      </c>
      <c r="T12" s="14"/>
      <c r="U12" s="38"/>
      <c r="V12" s="14"/>
      <c r="W12" s="14"/>
      <c r="X12" s="14"/>
    </row>
    <row r="13" s="1" customFormat="1" customHeight="1" spans="2:24">
      <c r="B13" s="35">
        <v>46100</v>
      </c>
      <c r="C13" s="14" t="s">
        <v>42</v>
      </c>
      <c r="D13" s="14" t="s">
        <v>41</v>
      </c>
      <c r="E13" s="14" t="s">
        <v>43</v>
      </c>
      <c r="F13" s="14" t="s">
        <v>27</v>
      </c>
      <c r="G13" s="14"/>
      <c r="H13" s="14"/>
      <c r="I13" s="39">
        <v>11.04</v>
      </c>
      <c r="J13" s="14">
        <v>5.07</v>
      </c>
      <c r="K13" s="14">
        <f t="shared" si="0"/>
        <v>5.97</v>
      </c>
      <c r="L13" s="14">
        <v>0.2</v>
      </c>
      <c r="M13" s="14">
        <f t="shared" si="1"/>
        <v>5.77</v>
      </c>
      <c r="N13" s="14">
        <v>1400</v>
      </c>
      <c r="O13" s="14"/>
      <c r="P13" s="14">
        <f t="shared" si="2"/>
        <v>8358</v>
      </c>
      <c r="Q13" s="14">
        <f t="shared" si="3"/>
        <v>8078</v>
      </c>
      <c r="R13" s="14">
        <f t="shared" si="4"/>
        <v>8070</v>
      </c>
      <c r="S13" s="14">
        <f t="shared" si="5"/>
        <v>8070</v>
      </c>
      <c r="T13" s="14"/>
      <c r="U13" s="38"/>
      <c r="V13" s="14"/>
      <c r="W13" s="14"/>
      <c r="X13" s="14"/>
    </row>
    <row r="14" s="1" customFormat="1" customHeight="1" spans="2:24">
      <c r="B14" s="35">
        <v>46100</v>
      </c>
      <c r="C14" s="14" t="s">
        <v>73</v>
      </c>
      <c r="D14" s="14" t="s">
        <v>74</v>
      </c>
      <c r="E14" s="14" t="s">
        <v>37</v>
      </c>
      <c r="F14" s="14" t="s">
        <v>75</v>
      </c>
      <c r="G14" s="14"/>
      <c r="H14" s="14"/>
      <c r="I14" s="14">
        <v>7.92</v>
      </c>
      <c r="J14" s="14">
        <v>4.53</v>
      </c>
      <c r="K14" s="14">
        <f t="shared" si="0"/>
        <v>3.39</v>
      </c>
      <c r="L14" s="14">
        <v>0.01</v>
      </c>
      <c r="M14" s="14">
        <f t="shared" si="1"/>
        <v>3.38</v>
      </c>
      <c r="N14" s="14">
        <v>1870</v>
      </c>
      <c r="O14" s="14"/>
      <c r="P14" s="14">
        <f t="shared" si="2"/>
        <v>6339.3</v>
      </c>
      <c r="Q14" s="14">
        <f t="shared" si="3"/>
        <v>6320.6</v>
      </c>
      <c r="R14" s="14">
        <f t="shared" si="4"/>
        <v>6320</v>
      </c>
      <c r="S14" s="14">
        <f t="shared" si="5"/>
        <v>6320</v>
      </c>
      <c r="T14" s="14" t="s">
        <v>47</v>
      </c>
      <c r="U14" s="38">
        <v>46094</v>
      </c>
      <c r="V14" s="14"/>
      <c r="W14" s="14"/>
      <c r="X14" s="14"/>
    </row>
    <row r="15" s="1" customFormat="1" customHeight="1" spans="2:24">
      <c r="B15" s="35">
        <v>46100</v>
      </c>
      <c r="C15" s="14" t="s">
        <v>73</v>
      </c>
      <c r="D15" s="14" t="s">
        <v>74</v>
      </c>
      <c r="E15" s="14" t="s">
        <v>37</v>
      </c>
      <c r="F15" s="14" t="s">
        <v>75</v>
      </c>
      <c r="G15" s="14"/>
      <c r="H15" s="14"/>
      <c r="I15" s="14">
        <v>6.96</v>
      </c>
      <c r="J15" s="14">
        <v>4.46</v>
      </c>
      <c r="K15" s="14">
        <f t="shared" ref="K15:K26" si="6">I15-J15</f>
        <v>2.5</v>
      </c>
      <c r="L15" s="14">
        <v>0.01</v>
      </c>
      <c r="M15" s="14">
        <f t="shared" ref="M15:M26" si="7">K15-L15</f>
        <v>2.49</v>
      </c>
      <c r="N15" s="14">
        <v>1870</v>
      </c>
      <c r="O15" s="14"/>
      <c r="P15" s="14">
        <f t="shared" ref="P15:P26" si="8">K15*N15</f>
        <v>4675</v>
      </c>
      <c r="Q15" s="14">
        <f t="shared" ref="Q15:Q26" si="9">M15*N15</f>
        <v>4656.3</v>
      </c>
      <c r="R15" s="14">
        <f t="shared" ref="R15:R26" si="10">ROUNDDOWN(M15*N15,-1)</f>
        <v>4650</v>
      </c>
      <c r="S15" s="14">
        <f t="shared" ref="S15:S26" si="11">ROUNDDOWN(M15*N15+O15,-1)</f>
        <v>4650</v>
      </c>
      <c r="T15" s="14" t="s">
        <v>47</v>
      </c>
      <c r="U15" s="38">
        <v>46095</v>
      </c>
      <c r="V15" s="40"/>
      <c r="W15" s="14"/>
      <c r="X15" s="14"/>
    </row>
    <row r="16" s="1" customFormat="1" customHeight="1" spans="2:24">
      <c r="B16" s="35">
        <v>46100</v>
      </c>
      <c r="C16" s="14" t="s">
        <v>73</v>
      </c>
      <c r="D16" s="14" t="s">
        <v>74</v>
      </c>
      <c r="E16" s="14" t="s">
        <v>37</v>
      </c>
      <c r="F16" s="14" t="s">
        <v>75</v>
      </c>
      <c r="G16" s="14"/>
      <c r="H16" s="14"/>
      <c r="I16" s="14">
        <v>7.87</v>
      </c>
      <c r="J16" s="14">
        <v>4.56</v>
      </c>
      <c r="K16" s="14">
        <f t="shared" si="6"/>
        <v>3.31</v>
      </c>
      <c r="L16" s="14">
        <v>0.01</v>
      </c>
      <c r="M16" s="14">
        <f t="shared" si="7"/>
        <v>3.3</v>
      </c>
      <c r="N16" s="14">
        <v>1880</v>
      </c>
      <c r="O16" s="14"/>
      <c r="P16" s="14">
        <f t="shared" si="8"/>
        <v>6222.8</v>
      </c>
      <c r="Q16" s="14">
        <f t="shared" si="9"/>
        <v>6204</v>
      </c>
      <c r="R16" s="14">
        <f t="shared" si="10"/>
        <v>6200</v>
      </c>
      <c r="S16" s="14">
        <f t="shared" si="11"/>
        <v>6200</v>
      </c>
      <c r="T16" s="14" t="s">
        <v>76</v>
      </c>
      <c r="U16" s="37">
        <v>46100</v>
      </c>
      <c r="V16" s="40"/>
      <c r="W16" s="14"/>
      <c r="X16" s="14"/>
    </row>
    <row r="17" s="1" customFormat="1" customHeight="1" spans="2:24">
      <c r="B17" s="35">
        <v>46100</v>
      </c>
      <c r="C17" s="14" t="s">
        <v>77</v>
      </c>
      <c r="D17" s="14" t="s">
        <v>78</v>
      </c>
      <c r="E17" s="14" t="s">
        <v>34</v>
      </c>
      <c r="F17" s="14" t="s">
        <v>75</v>
      </c>
      <c r="G17" s="14"/>
      <c r="H17" s="14"/>
      <c r="I17" s="14">
        <v>5.99</v>
      </c>
      <c r="J17" s="14">
        <v>3.96</v>
      </c>
      <c r="K17" s="14">
        <f t="shared" si="6"/>
        <v>2.03</v>
      </c>
      <c r="L17" s="14">
        <v>0</v>
      </c>
      <c r="M17" s="14">
        <f t="shared" si="7"/>
        <v>2.03</v>
      </c>
      <c r="N17" s="14">
        <v>2000</v>
      </c>
      <c r="O17" s="14"/>
      <c r="P17" s="14">
        <f t="shared" si="8"/>
        <v>4060</v>
      </c>
      <c r="Q17" s="14">
        <f t="shared" si="9"/>
        <v>4060</v>
      </c>
      <c r="R17" s="14">
        <f t="shared" si="10"/>
        <v>4060</v>
      </c>
      <c r="S17" s="14">
        <f t="shared" si="11"/>
        <v>4060</v>
      </c>
      <c r="T17" s="14" t="s">
        <v>76</v>
      </c>
      <c r="U17" s="37">
        <v>46100</v>
      </c>
      <c r="V17" s="40"/>
      <c r="W17" s="14"/>
      <c r="X17" s="14"/>
    </row>
    <row r="18" s="1" customFormat="1" customHeight="1" spans="2:24">
      <c r="B18" s="35">
        <v>46100</v>
      </c>
      <c r="C18" s="14" t="s">
        <v>79</v>
      </c>
      <c r="D18" s="40" t="s">
        <v>80</v>
      </c>
      <c r="E18" s="14" t="s">
        <v>81</v>
      </c>
      <c r="F18" s="14" t="s">
        <v>27</v>
      </c>
      <c r="G18" s="14"/>
      <c r="H18" s="14"/>
      <c r="I18" s="14">
        <v>4.76</v>
      </c>
      <c r="J18" s="14">
        <v>3.69</v>
      </c>
      <c r="K18" s="14">
        <f t="shared" si="6"/>
        <v>1.07</v>
      </c>
      <c r="L18" s="14">
        <v>0.01</v>
      </c>
      <c r="M18" s="14">
        <f t="shared" si="7"/>
        <v>1.06</v>
      </c>
      <c r="N18" s="14">
        <v>1820</v>
      </c>
      <c r="O18" s="14"/>
      <c r="P18" s="14">
        <f t="shared" si="8"/>
        <v>1947.4</v>
      </c>
      <c r="Q18" s="14">
        <f t="shared" si="9"/>
        <v>1929.2</v>
      </c>
      <c r="R18" s="14">
        <f t="shared" si="10"/>
        <v>1920</v>
      </c>
      <c r="S18" s="14">
        <f t="shared" si="11"/>
        <v>1920</v>
      </c>
      <c r="T18" s="14" t="s">
        <v>47</v>
      </c>
      <c r="U18" s="37">
        <v>46101</v>
      </c>
      <c r="V18" s="40"/>
      <c r="W18" s="14"/>
      <c r="X18" s="14"/>
    </row>
    <row r="19" s="1" customFormat="1" customHeight="1" spans="2:24">
      <c r="B19" s="35">
        <v>46100</v>
      </c>
      <c r="C19" s="14" t="s">
        <v>79</v>
      </c>
      <c r="D19" s="40" t="s">
        <v>80</v>
      </c>
      <c r="E19" s="14" t="s">
        <v>81</v>
      </c>
      <c r="F19" s="14" t="s">
        <v>27</v>
      </c>
      <c r="G19" s="14"/>
      <c r="H19" s="14"/>
      <c r="I19" s="39">
        <v>5.1</v>
      </c>
      <c r="J19" s="14">
        <v>3.76</v>
      </c>
      <c r="K19" s="14">
        <f t="shared" si="6"/>
        <v>1.34</v>
      </c>
      <c r="L19" s="14">
        <v>0.01</v>
      </c>
      <c r="M19" s="14">
        <f t="shared" si="7"/>
        <v>1.33</v>
      </c>
      <c r="N19" s="14">
        <v>1820</v>
      </c>
      <c r="O19" s="14"/>
      <c r="P19" s="14">
        <f t="shared" si="8"/>
        <v>2438.8</v>
      </c>
      <c r="Q19" s="14">
        <f t="shared" si="9"/>
        <v>2420.6</v>
      </c>
      <c r="R19" s="14">
        <f t="shared" si="10"/>
        <v>2420</v>
      </c>
      <c r="S19" s="14">
        <f t="shared" si="11"/>
        <v>2420</v>
      </c>
      <c r="T19" s="14" t="s">
        <v>47</v>
      </c>
      <c r="U19" s="37">
        <v>46101</v>
      </c>
      <c r="V19" s="40"/>
      <c r="W19" s="14"/>
      <c r="X19" s="14"/>
    </row>
    <row r="20" s="1" customFormat="1" customHeight="1" spans="2:24">
      <c r="B20" s="35">
        <v>46101</v>
      </c>
      <c r="C20" s="14" t="s">
        <v>42</v>
      </c>
      <c r="D20" s="14" t="s">
        <v>41</v>
      </c>
      <c r="E20" s="14" t="s">
        <v>37</v>
      </c>
      <c r="F20" s="14" t="s">
        <v>27</v>
      </c>
      <c r="G20" s="14"/>
      <c r="H20" s="14"/>
      <c r="I20" s="14">
        <v>12.65</v>
      </c>
      <c r="J20" s="14">
        <v>5.05</v>
      </c>
      <c r="K20" s="14">
        <f t="shared" si="6"/>
        <v>7.6</v>
      </c>
      <c r="L20" s="14">
        <v>0.06</v>
      </c>
      <c r="M20" s="14">
        <f t="shared" si="7"/>
        <v>7.54</v>
      </c>
      <c r="N20" s="14">
        <v>1850</v>
      </c>
      <c r="O20" s="14"/>
      <c r="P20" s="14">
        <f t="shared" si="8"/>
        <v>14060</v>
      </c>
      <c r="Q20" s="14">
        <f t="shared" si="9"/>
        <v>13949</v>
      </c>
      <c r="R20" s="14">
        <f t="shared" si="10"/>
        <v>13940</v>
      </c>
      <c r="S20" s="14">
        <f t="shared" si="11"/>
        <v>13940</v>
      </c>
      <c r="T20" s="14"/>
      <c r="U20" s="37"/>
      <c r="V20" s="40"/>
      <c r="W20" s="14"/>
      <c r="X20" s="14"/>
    </row>
    <row r="21" s="1" customFormat="1" customHeight="1" spans="2:24">
      <c r="B21" s="35">
        <v>46101</v>
      </c>
      <c r="C21" s="14" t="s">
        <v>82</v>
      </c>
      <c r="D21" s="14" t="s">
        <v>25</v>
      </c>
      <c r="E21" s="14" t="s">
        <v>26</v>
      </c>
      <c r="F21" s="14" t="s">
        <v>27</v>
      </c>
      <c r="G21" s="14"/>
      <c r="H21" s="14"/>
      <c r="I21" s="14">
        <v>3.41</v>
      </c>
      <c r="J21" s="14">
        <v>2.58</v>
      </c>
      <c r="K21" s="14">
        <f t="shared" si="6"/>
        <v>0.83</v>
      </c>
      <c r="L21" s="14">
        <v>0.03</v>
      </c>
      <c r="M21" s="14">
        <f t="shared" si="7"/>
        <v>0.8</v>
      </c>
      <c r="N21" s="14">
        <v>1400</v>
      </c>
      <c r="O21" s="14"/>
      <c r="P21" s="14">
        <f t="shared" si="8"/>
        <v>1162</v>
      </c>
      <c r="Q21" s="14">
        <f t="shared" si="9"/>
        <v>1120</v>
      </c>
      <c r="R21" s="14">
        <f t="shared" si="10"/>
        <v>1120</v>
      </c>
      <c r="S21" s="14">
        <f t="shared" si="11"/>
        <v>1120</v>
      </c>
      <c r="T21" s="14"/>
      <c r="U21" s="37"/>
      <c r="V21" s="40"/>
      <c r="W21" s="14"/>
      <c r="X21" s="14"/>
    </row>
    <row r="22" s="1" customFormat="1" customHeight="1" spans="2:24">
      <c r="B22" s="35">
        <v>46101</v>
      </c>
      <c r="C22" s="14">
        <v>3690</v>
      </c>
      <c r="D22" s="40" t="s">
        <v>83</v>
      </c>
      <c r="E22" s="14" t="s">
        <v>84</v>
      </c>
      <c r="F22" s="14" t="s">
        <v>85</v>
      </c>
      <c r="G22" s="14"/>
      <c r="H22" s="14"/>
      <c r="I22" s="14">
        <v>21.65</v>
      </c>
      <c r="J22" s="14">
        <v>16.23</v>
      </c>
      <c r="K22" s="14">
        <f t="shared" si="6"/>
        <v>5.42</v>
      </c>
      <c r="L22" s="14">
        <v>0</v>
      </c>
      <c r="M22" s="14">
        <f t="shared" si="7"/>
        <v>5.42</v>
      </c>
      <c r="N22" s="14">
        <v>1830</v>
      </c>
      <c r="O22" s="14"/>
      <c r="P22" s="14">
        <f t="shared" si="8"/>
        <v>9918.6</v>
      </c>
      <c r="Q22" s="14">
        <f t="shared" si="9"/>
        <v>9918.6</v>
      </c>
      <c r="R22" s="14">
        <f t="shared" si="10"/>
        <v>9910</v>
      </c>
      <c r="S22" s="14">
        <f t="shared" si="11"/>
        <v>9910</v>
      </c>
      <c r="T22" s="14" t="s">
        <v>71</v>
      </c>
      <c r="U22" s="37">
        <v>46094</v>
      </c>
      <c r="V22" s="40"/>
      <c r="W22" s="14"/>
      <c r="X22" s="14"/>
    </row>
    <row r="23" s="1" customFormat="1" customHeight="1" spans="2:24">
      <c r="B23" s="35">
        <v>46101</v>
      </c>
      <c r="C23" s="14">
        <v>3690</v>
      </c>
      <c r="D23" s="40" t="s">
        <v>83</v>
      </c>
      <c r="E23" s="14" t="s">
        <v>84</v>
      </c>
      <c r="F23" s="14" t="s">
        <v>85</v>
      </c>
      <c r="G23" s="14"/>
      <c r="H23" s="14"/>
      <c r="I23" s="14">
        <v>21.66</v>
      </c>
      <c r="J23" s="14">
        <v>16.19</v>
      </c>
      <c r="K23" s="14">
        <f t="shared" si="6"/>
        <v>5.47</v>
      </c>
      <c r="L23" s="14">
        <v>0</v>
      </c>
      <c r="M23" s="14">
        <f t="shared" si="7"/>
        <v>5.47</v>
      </c>
      <c r="N23" s="14">
        <v>1810</v>
      </c>
      <c r="O23" s="14"/>
      <c r="P23" s="14">
        <f t="shared" si="8"/>
        <v>9900.7</v>
      </c>
      <c r="Q23" s="14">
        <f t="shared" si="9"/>
        <v>9900.7</v>
      </c>
      <c r="R23" s="14">
        <f t="shared" si="10"/>
        <v>9900</v>
      </c>
      <c r="S23" s="14">
        <f t="shared" si="11"/>
        <v>9900</v>
      </c>
      <c r="T23" s="14" t="s">
        <v>47</v>
      </c>
      <c r="U23" s="37">
        <v>46100</v>
      </c>
      <c r="V23" s="40"/>
      <c r="W23" s="14"/>
      <c r="X23" s="14"/>
    </row>
    <row r="24" s="1" customFormat="1" customHeight="1" spans="2:24">
      <c r="B24" s="35">
        <v>46101</v>
      </c>
      <c r="C24" s="14" t="s">
        <v>86</v>
      </c>
      <c r="D24" s="14" t="s">
        <v>87</v>
      </c>
      <c r="E24" s="14" t="s">
        <v>88</v>
      </c>
      <c r="F24" s="14" t="s">
        <v>27</v>
      </c>
      <c r="G24" s="14"/>
      <c r="H24" s="14"/>
      <c r="I24" s="14">
        <v>3.79</v>
      </c>
      <c r="J24" s="14">
        <v>3.45</v>
      </c>
      <c r="K24" s="14">
        <f t="shared" si="6"/>
        <v>0.34</v>
      </c>
      <c r="L24" s="14">
        <v>0</v>
      </c>
      <c r="M24" s="14">
        <f t="shared" si="7"/>
        <v>0.34</v>
      </c>
      <c r="N24" s="14">
        <v>1880</v>
      </c>
      <c r="O24" s="14"/>
      <c r="P24" s="14">
        <f t="shared" si="8"/>
        <v>639.2</v>
      </c>
      <c r="Q24" s="14">
        <f t="shared" si="9"/>
        <v>639.2</v>
      </c>
      <c r="R24" s="14">
        <f t="shared" si="10"/>
        <v>630</v>
      </c>
      <c r="S24" s="14">
        <f t="shared" si="11"/>
        <v>630</v>
      </c>
      <c r="T24" s="14" t="s">
        <v>47</v>
      </c>
      <c r="U24" s="37">
        <v>46106</v>
      </c>
      <c r="V24" s="40"/>
      <c r="W24" s="14"/>
      <c r="X24" s="14"/>
    </row>
    <row r="25" s="1" customFormat="1" customHeight="1" spans="2:24">
      <c r="B25" s="35">
        <v>46102</v>
      </c>
      <c r="C25" s="14" t="s">
        <v>73</v>
      </c>
      <c r="D25" s="14" t="s">
        <v>74</v>
      </c>
      <c r="E25" s="14" t="s">
        <v>34</v>
      </c>
      <c r="F25" s="14" t="s">
        <v>75</v>
      </c>
      <c r="G25" s="14"/>
      <c r="H25" s="14"/>
      <c r="I25" s="14">
        <v>8.82</v>
      </c>
      <c r="J25" s="14">
        <v>4.54</v>
      </c>
      <c r="K25" s="14">
        <f t="shared" si="6"/>
        <v>4.28</v>
      </c>
      <c r="L25" s="14">
        <v>0.02</v>
      </c>
      <c r="M25" s="14">
        <f t="shared" si="7"/>
        <v>4.26</v>
      </c>
      <c r="N25" s="14">
        <v>1880</v>
      </c>
      <c r="O25" s="14"/>
      <c r="P25" s="14">
        <f t="shared" si="8"/>
        <v>8046.4</v>
      </c>
      <c r="Q25" s="14">
        <f t="shared" si="9"/>
        <v>8008.8</v>
      </c>
      <c r="R25" s="14">
        <f t="shared" si="10"/>
        <v>8000</v>
      </c>
      <c r="S25" s="14">
        <f t="shared" si="11"/>
        <v>8000</v>
      </c>
      <c r="T25" s="14" t="s">
        <v>47</v>
      </c>
      <c r="U25" s="37">
        <v>46102</v>
      </c>
      <c r="V25" s="40"/>
      <c r="W25" s="14"/>
      <c r="X25" s="14"/>
    </row>
    <row r="26" s="31" customFormat="1" ht="29" customHeight="1" spans="2:24">
      <c r="B26" s="35">
        <v>46102</v>
      </c>
      <c r="C26" s="36" t="s">
        <v>89</v>
      </c>
      <c r="D26" s="36" t="s">
        <v>90</v>
      </c>
      <c r="E26" s="36" t="s">
        <v>30</v>
      </c>
      <c r="F26" s="36" t="s">
        <v>91</v>
      </c>
      <c r="G26" s="36"/>
      <c r="H26" s="36"/>
      <c r="I26" s="36">
        <v>6.94</v>
      </c>
      <c r="J26" s="36">
        <v>3.95</v>
      </c>
      <c r="K26" s="14">
        <f t="shared" ref="K26:K36" si="12">I26-J26</f>
        <v>2.99</v>
      </c>
      <c r="L26" s="14">
        <v>0</v>
      </c>
      <c r="M26" s="14">
        <f t="shared" ref="M26:M36" si="13">K26-L26</f>
        <v>2.99</v>
      </c>
      <c r="N26" s="14">
        <v>1450</v>
      </c>
      <c r="O26" s="14"/>
      <c r="P26" s="14">
        <f t="shared" ref="P26:P36" si="14">K26*N26</f>
        <v>4335.5</v>
      </c>
      <c r="Q26" s="14">
        <f t="shared" ref="Q26:Q36" si="15">M26*N26</f>
        <v>4335.5</v>
      </c>
      <c r="R26" s="14">
        <f t="shared" ref="R26:R36" si="16">ROUNDDOWN(M26*N26,-1)</f>
        <v>4330</v>
      </c>
      <c r="S26" s="14">
        <f t="shared" ref="S26:S36" si="17">ROUNDDOWN(M26*N26+O26,-1)</f>
        <v>4330</v>
      </c>
      <c r="T26" s="41"/>
      <c r="U26" s="42"/>
      <c r="V26" s="41"/>
      <c r="W26" s="41"/>
      <c r="X26" s="41"/>
    </row>
    <row r="27" s="31" customFormat="1" ht="29" customHeight="1" spans="2:24">
      <c r="B27" s="35">
        <v>46102</v>
      </c>
      <c r="C27" s="36" t="s">
        <v>92</v>
      </c>
      <c r="D27" s="43" t="s">
        <v>93</v>
      </c>
      <c r="E27" s="36" t="s">
        <v>34</v>
      </c>
      <c r="F27" s="36" t="s">
        <v>75</v>
      </c>
      <c r="G27" s="36"/>
      <c r="H27" s="36"/>
      <c r="I27" s="36">
        <v>1.52</v>
      </c>
      <c r="J27" s="36">
        <v>1.13</v>
      </c>
      <c r="K27" s="14">
        <f t="shared" si="12"/>
        <v>0.39</v>
      </c>
      <c r="L27" s="14">
        <v>0</v>
      </c>
      <c r="M27" s="14">
        <f t="shared" si="13"/>
        <v>0.39</v>
      </c>
      <c r="N27" s="14">
        <v>1870</v>
      </c>
      <c r="O27" s="14"/>
      <c r="P27" s="14">
        <f t="shared" si="14"/>
        <v>729.3</v>
      </c>
      <c r="Q27" s="14">
        <f t="shared" si="15"/>
        <v>729.3</v>
      </c>
      <c r="R27" s="14">
        <f t="shared" si="16"/>
        <v>720</v>
      </c>
      <c r="S27" s="14">
        <f t="shared" si="17"/>
        <v>720</v>
      </c>
      <c r="T27" s="36" t="s">
        <v>47</v>
      </c>
      <c r="U27" s="37">
        <v>46102</v>
      </c>
      <c r="V27" s="41"/>
      <c r="W27" s="41"/>
      <c r="X27" s="41"/>
    </row>
    <row r="28" s="31" customFormat="1" ht="29" customHeight="1" spans="2:24">
      <c r="B28" s="35">
        <v>46102</v>
      </c>
      <c r="C28" s="36" t="s">
        <v>94</v>
      </c>
      <c r="D28" s="36" t="s">
        <v>95</v>
      </c>
      <c r="E28" s="36" t="s">
        <v>96</v>
      </c>
      <c r="F28" s="36" t="s">
        <v>75</v>
      </c>
      <c r="G28" s="36"/>
      <c r="H28" s="36"/>
      <c r="I28" s="36">
        <v>19.54</v>
      </c>
      <c r="J28" s="36">
        <v>9.92</v>
      </c>
      <c r="K28" s="14">
        <f t="shared" si="12"/>
        <v>9.62</v>
      </c>
      <c r="L28" s="14">
        <v>0.08</v>
      </c>
      <c r="M28" s="14">
        <f t="shared" si="13"/>
        <v>9.54</v>
      </c>
      <c r="N28" s="14">
        <v>1470</v>
      </c>
      <c r="O28" s="14"/>
      <c r="P28" s="14">
        <f t="shared" si="14"/>
        <v>14141.4</v>
      </c>
      <c r="Q28" s="14">
        <f t="shared" si="15"/>
        <v>14023.8</v>
      </c>
      <c r="R28" s="14">
        <f t="shared" si="16"/>
        <v>14020</v>
      </c>
      <c r="S28" s="14">
        <f t="shared" si="17"/>
        <v>14020</v>
      </c>
      <c r="T28" s="36" t="s">
        <v>47</v>
      </c>
      <c r="U28" s="37">
        <v>46102</v>
      </c>
      <c r="V28" s="41"/>
      <c r="W28" s="41"/>
      <c r="X28" s="41"/>
    </row>
    <row r="29" s="31" customFormat="1" ht="29" customHeight="1" spans="2:24">
      <c r="B29" s="44">
        <v>46104</v>
      </c>
      <c r="C29" s="36" t="s">
        <v>97</v>
      </c>
      <c r="D29" s="36" t="s">
        <v>98</v>
      </c>
      <c r="E29" s="36" t="s">
        <v>55</v>
      </c>
      <c r="F29" s="36" t="s">
        <v>31</v>
      </c>
      <c r="G29" s="36">
        <v>32.22</v>
      </c>
      <c r="H29" s="36">
        <f>K29-G29</f>
        <v>-0.140000000000001</v>
      </c>
      <c r="I29" s="36">
        <v>49.34</v>
      </c>
      <c r="J29" s="36">
        <v>17.26</v>
      </c>
      <c r="K29" s="14">
        <f t="shared" si="12"/>
        <v>32.08</v>
      </c>
      <c r="L29" s="14">
        <v>0</v>
      </c>
      <c r="M29" s="14">
        <f t="shared" si="13"/>
        <v>32.08</v>
      </c>
      <c r="N29" s="14">
        <v>1840</v>
      </c>
      <c r="O29" s="14"/>
      <c r="P29" s="14">
        <f t="shared" si="14"/>
        <v>59027.2</v>
      </c>
      <c r="Q29" s="14">
        <f t="shared" si="15"/>
        <v>59027.2</v>
      </c>
      <c r="R29" s="14">
        <f>ROUNDDOWN(G29*N29,-1)</f>
        <v>59280</v>
      </c>
      <c r="S29" s="14">
        <f>ROUNDDOWN(G29*N29+O29,-1)</f>
        <v>59280</v>
      </c>
      <c r="T29" s="36" t="s">
        <v>47</v>
      </c>
      <c r="U29" s="37">
        <v>46103</v>
      </c>
      <c r="V29" s="41"/>
      <c r="W29" s="41"/>
      <c r="X29" s="41"/>
    </row>
    <row r="30" s="31" customFormat="1" ht="29" customHeight="1" spans="2:24">
      <c r="B30" s="44">
        <v>46104</v>
      </c>
      <c r="C30" s="36" t="s">
        <v>99</v>
      </c>
      <c r="D30" s="36" t="s">
        <v>100</v>
      </c>
      <c r="E30" s="36" t="s">
        <v>96</v>
      </c>
      <c r="F30" s="36" t="s">
        <v>75</v>
      </c>
      <c r="G30" s="36"/>
      <c r="H30" s="36"/>
      <c r="I30" s="36">
        <v>9.31</v>
      </c>
      <c r="J30" s="36">
        <v>4.43</v>
      </c>
      <c r="K30" s="14">
        <f t="shared" si="12"/>
        <v>4.88</v>
      </c>
      <c r="L30" s="14">
        <v>0.03</v>
      </c>
      <c r="M30" s="14">
        <f t="shared" si="13"/>
        <v>4.85</v>
      </c>
      <c r="N30" s="14">
        <v>1550</v>
      </c>
      <c r="O30" s="14"/>
      <c r="P30" s="14">
        <f t="shared" si="14"/>
        <v>7564</v>
      </c>
      <c r="Q30" s="14">
        <f t="shared" si="15"/>
        <v>7517.5</v>
      </c>
      <c r="R30" s="14">
        <f t="shared" si="16"/>
        <v>7510</v>
      </c>
      <c r="S30" s="14">
        <f t="shared" si="17"/>
        <v>7510</v>
      </c>
      <c r="T30" s="36" t="s">
        <v>47</v>
      </c>
      <c r="U30" s="37">
        <v>46107</v>
      </c>
      <c r="V30" s="41"/>
      <c r="W30" s="41"/>
      <c r="X30" s="41"/>
    </row>
    <row r="31" s="31" customFormat="1" ht="29" customHeight="1" spans="2:24">
      <c r="B31" s="44">
        <v>46104</v>
      </c>
      <c r="C31" s="36" t="s">
        <v>77</v>
      </c>
      <c r="D31" s="36" t="s">
        <v>78</v>
      </c>
      <c r="E31" s="36" t="s">
        <v>34</v>
      </c>
      <c r="F31" s="36" t="s">
        <v>75</v>
      </c>
      <c r="G31" s="36"/>
      <c r="H31" s="36"/>
      <c r="I31" s="36">
        <v>9.32</v>
      </c>
      <c r="J31" s="36">
        <v>3.9</v>
      </c>
      <c r="K31" s="14">
        <f t="shared" si="12"/>
        <v>5.42</v>
      </c>
      <c r="L31" s="14">
        <v>0</v>
      </c>
      <c r="M31" s="14">
        <f t="shared" si="13"/>
        <v>5.42</v>
      </c>
      <c r="N31" s="14">
        <v>1950</v>
      </c>
      <c r="O31" s="14"/>
      <c r="P31" s="14">
        <f t="shared" si="14"/>
        <v>10569</v>
      </c>
      <c r="Q31" s="14">
        <f t="shared" si="15"/>
        <v>10569</v>
      </c>
      <c r="R31" s="14">
        <f t="shared" si="16"/>
        <v>10560</v>
      </c>
      <c r="S31" s="14">
        <f t="shared" si="17"/>
        <v>10560</v>
      </c>
      <c r="T31" s="36" t="s">
        <v>47</v>
      </c>
      <c r="U31" s="37">
        <v>46104</v>
      </c>
      <c r="V31" s="41"/>
      <c r="W31" s="41"/>
      <c r="X31" s="41"/>
    </row>
    <row r="32" s="31" customFormat="1" ht="29" customHeight="1" spans="2:24">
      <c r="B32" s="44">
        <v>46104</v>
      </c>
      <c r="C32" s="36" t="s">
        <v>73</v>
      </c>
      <c r="D32" s="36" t="s">
        <v>74</v>
      </c>
      <c r="E32" s="36" t="s">
        <v>34</v>
      </c>
      <c r="F32" s="36" t="s">
        <v>75</v>
      </c>
      <c r="G32" s="36"/>
      <c r="H32" s="36"/>
      <c r="I32" s="36">
        <v>9.01</v>
      </c>
      <c r="J32" s="36">
        <v>4.51</v>
      </c>
      <c r="K32" s="14">
        <f t="shared" si="12"/>
        <v>4.5</v>
      </c>
      <c r="L32" s="14">
        <v>0.01</v>
      </c>
      <c r="M32" s="14">
        <f t="shared" si="13"/>
        <v>4.49</v>
      </c>
      <c r="N32" s="14">
        <v>1880</v>
      </c>
      <c r="O32" s="14"/>
      <c r="P32" s="14">
        <f t="shared" si="14"/>
        <v>8460</v>
      </c>
      <c r="Q32" s="14">
        <f t="shared" si="15"/>
        <v>8441.2</v>
      </c>
      <c r="R32" s="14">
        <f t="shared" si="16"/>
        <v>8440</v>
      </c>
      <c r="S32" s="14">
        <f t="shared" si="17"/>
        <v>8440</v>
      </c>
      <c r="T32" s="36" t="s">
        <v>47</v>
      </c>
      <c r="U32" s="37">
        <v>46107</v>
      </c>
      <c r="V32" s="41"/>
      <c r="W32" s="41"/>
      <c r="X32" s="41"/>
    </row>
    <row r="33" s="31" customFormat="1" ht="29" customHeight="1" spans="2:24">
      <c r="B33" s="44">
        <v>46104</v>
      </c>
      <c r="C33" s="36" t="s">
        <v>94</v>
      </c>
      <c r="D33" s="36" t="s">
        <v>95</v>
      </c>
      <c r="E33" s="36" t="s">
        <v>43</v>
      </c>
      <c r="F33" s="36" t="s">
        <v>75</v>
      </c>
      <c r="G33" s="36"/>
      <c r="H33" s="36"/>
      <c r="I33" s="36">
        <v>19.75</v>
      </c>
      <c r="J33" s="36">
        <v>10.11</v>
      </c>
      <c r="K33" s="14">
        <f t="shared" si="12"/>
        <v>9.64</v>
      </c>
      <c r="L33" s="14">
        <v>0.1</v>
      </c>
      <c r="M33" s="14">
        <f t="shared" si="13"/>
        <v>9.54</v>
      </c>
      <c r="N33" s="14">
        <v>1470</v>
      </c>
      <c r="O33" s="14"/>
      <c r="P33" s="14">
        <f t="shared" si="14"/>
        <v>14170.8</v>
      </c>
      <c r="Q33" s="14">
        <f t="shared" si="15"/>
        <v>14023.8</v>
      </c>
      <c r="R33" s="14">
        <f t="shared" si="16"/>
        <v>14020</v>
      </c>
      <c r="S33" s="14">
        <f t="shared" si="17"/>
        <v>14020</v>
      </c>
      <c r="T33" s="36" t="s">
        <v>47</v>
      </c>
      <c r="U33" s="37">
        <v>46107</v>
      </c>
      <c r="V33" s="41"/>
      <c r="W33" s="41"/>
      <c r="X33" s="41"/>
    </row>
    <row r="34" s="31" customFormat="1" ht="29" customHeight="1" spans="2:24">
      <c r="B34" s="44">
        <v>46104</v>
      </c>
      <c r="C34" s="36" t="s">
        <v>42</v>
      </c>
      <c r="D34" s="36" t="s">
        <v>41</v>
      </c>
      <c r="E34" s="36" t="s">
        <v>37</v>
      </c>
      <c r="F34" s="36" t="s">
        <v>27</v>
      </c>
      <c r="G34" s="36"/>
      <c r="H34" s="36"/>
      <c r="I34" s="36">
        <v>12.03</v>
      </c>
      <c r="J34" s="36">
        <v>5.05</v>
      </c>
      <c r="K34" s="14">
        <f t="shared" si="12"/>
        <v>6.98</v>
      </c>
      <c r="L34" s="14">
        <v>0.06</v>
      </c>
      <c r="M34" s="14">
        <f t="shared" si="13"/>
        <v>6.92</v>
      </c>
      <c r="N34" s="14">
        <v>1850</v>
      </c>
      <c r="O34" s="14"/>
      <c r="P34" s="14">
        <f t="shared" si="14"/>
        <v>12913</v>
      </c>
      <c r="Q34" s="14">
        <f t="shared" si="15"/>
        <v>12802</v>
      </c>
      <c r="R34" s="14">
        <f t="shared" si="16"/>
        <v>12800</v>
      </c>
      <c r="S34" s="14">
        <f t="shared" si="17"/>
        <v>12800</v>
      </c>
      <c r="T34" s="36"/>
      <c r="U34" s="37"/>
      <c r="V34" s="41"/>
      <c r="W34" s="41"/>
      <c r="X34" s="41"/>
    </row>
    <row r="35" s="31" customFormat="1" ht="29" customHeight="1" spans="2:24">
      <c r="B35" s="44">
        <v>46105</v>
      </c>
      <c r="C35" s="36" t="s">
        <v>42</v>
      </c>
      <c r="D35" s="36" t="s">
        <v>41</v>
      </c>
      <c r="E35" s="36" t="s">
        <v>43</v>
      </c>
      <c r="F35" s="36" t="s">
        <v>27</v>
      </c>
      <c r="G35" s="36"/>
      <c r="H35" s="36"/>
      <c r="I35" s="36">
        <v>11.04</v>
      </c>
      <c r="J35" s="36">
        <v>5.04</v>
      </c>
      <c r="K35" s="14">
        <f t="shared" si="12"/>
        <v>6</v>
      </c>
      <c r="L35" s="14">
        <v>0.2</v>
      </c>
      <c r="M35" s="14">
        <f t="shared" si="13"/>
        <v>5.8</v>
      </c>
      <c r="N35" s="14">
        <v>1430</v>
      </c>
      <c r="O35" s="14"/>
      <c r="P35" s="14">
        <f t="shared" si="14"/>
        <v>8580</v>
      </c>
      <c r="Q35" s="14">
        <f t="shared" si="15"/>
        <v>8294</v>
      </c>
      <c r="R35" s="14">
        <f t="shared" si="16"/>
        <v>8290</v>
      </c>
      <c r="S35" s="14">
        <f t="shared" si="17"/>
        <v>8290</v>
      </c>
      <c r="T35" s="36"/>
      <c r="U35" s="37"/>
      <c r="V35" s="41"/>
      <c r="W35" s="41"/>
      <c r="X35" s="41"/>
    </row>
    <row r="36" s="31" customFormat="1" ht="29" customHeight="1" spans="2:24">
      <c r="B36" s="44">
        <v>46105</v>
      </c>
      <c r="C36" s="36" t="s">
        <v>32</v>
      </c>
      <c r="D36" s="36" t="s">
        <v>101</v>
      </c>
      <c r="E36" s="36" t="s">
        <v>102</v>
      </c>
      <c r="F36" s="36" t="s">
        <v>27</v>
      </c>
      <c r="G36" s="36"/>
      <c r="H36" s="36"/>
      <c r="I36" s="36">
        <v>0.36</v>
      </c>
      <c r="J36" s="36">
        <v>0.23</v>
      </c>
      <c r="K36" s="14">
        <f t="shared" ref="K36:K46" si="18">I36-J36</f>
        <v>0.13</v>
      </c>
      <c r="L36" s="14">
        <v>0</v>
      </c>
      <c r="M36" s="14">
        <f t="shared" ref="M36:M46" si="19">K36-L36</f>
        <v>0.13</v>
      </c>
      <c r="N36" s="14">
        <v>1900</v>
      </c>
      <c r="O36" s="14"/>
      <c r="P36" s="14">
        <f t="shared" ref="P36:P46" si="20">K36*N36</f>
        <v>247</v>
      </c>
      <c r="Q36" s="14">
        <f t="shared" ref="Q36:Q46" si="21">M36*N36</f>
        <v>247</v>
      </c>
      <c r="R36" s="14">
        <f t="shared" ref="R36:R46" si="22">ROUNDDOWN(M36*N36,-1)</f>
        <v>240</v>
      </c>
      <c r="S36" s="14">
        <f t="shared" ref="S36:S46" si="23">ROUNDDOWN(M36*N36+O36,-1)</f>
        <v>240</v>
      </c>
      <c r="T36" s="36" t="s">
        <v>47</v>
      </c>
      <c r="U36" s="37">
        <v>46105</v>
      </c>
      <c r="V36" s="41"/>
      <c r="W36" s="41"/>
      <c r="X36" s="41"/>
    </row>
    <row r="37" s="31" customFormat="1" ht="29" customHeight="1" spans="2:24">
      <c r="B37" s="44">
        <v>46106</v>
      </c>
      <c r="C37" s="36" t="s">
        <v>103</v>
      </c>
      <c r="D37" s="36" t="s">
        <v>104</v>
      </c>
      <c r="E37" s="36" t="s">
        <v>34</v>
      </c>
      <c r="F37" s="36" t="s">
        <v>75</v>
      </c>
      <c r="G37" s="36"/>
      <c r="H37" s="36"/>
      <c r="I37" s="36">
        <v>12.46</v>
      </c>
      <c r="J37" s="36">
        <v>5.89</v>
      </c>
      <c r="K37" s="14">
        <f t="shared" si="18"/>
        <v>6.57</v>
      </c>
      <c r="L37" s="14">
        <v>0.03</v>
      </c>
      <c r="M37" s="14">
        <f t="shared" si="19"/>
        <v>6.54</v>
      </c>
      <c r="N37" s="14">
        <v>1880</v>
      </c>
      <c r="O37" s="14"/>
      <c r="P37" s="14">
        <f t="shared" si="20"/>
        <v>12351.6</v>
      </c>
      <c r="Q37" s="14">
        <f t="shared" si="21"/>
        <v>12295.2</v>
      </c>
      <c r="R37" s="14">
        <f t="shared" si="22"/>
        <v>12290</v>
      </c>
      <c r="S37" s="14">
        <f t="shared" si="23"/>
        <v>12290</v>
      </c>
      <c r="T37" s="36" t="s">
        <v>47</v>
      </c>
      <c r="U37" s="37">
        <v>46107</v>
      </c>
      <c r="V37" s="41"/>
      <c r="W37" s="41"/>
      <c r="X37" s="41"/>
    </row>
    <row r="38" s="31" customFormat="1" ht="29" customHeight="1" spans="2:24">
      <c r="B38" s="44">
        <v>46106</v>
      </c>
      <c r="C38" s="36" t="s">
        <v>32</v>
      </c>
      <c r="D38" s="36" t="s">
        <v>101</v>
      </c>
      <c r="E38" s="36" t="s">
        <v>34</v>
      </c>
      <c r="F38" s="36" t="s">
        <v>27</v>
      </c>
      <c r="G38" s="36"/>
      <c r="H38" s="36"/>
      <c r="I38" s="36">
        <v>0.52</v>
      </c>
      <c r="J38" s="36">
        <v>0.2</v>
      </c>
      <c r="K38" s="14">
        <f t="shared" si="18"/>
        <v>0.32</v>
      </c>
      <c r="L38" s="14">
        <v>0</v>
      </c>
      <c r="M38" s="14">
        <f t="shared" si="19"/>
        <v>0.32</v>
      </c>
      <c r="N38" s="14">
        <v>1850</v>
      </c>
      <c r="O38" s="14"/>
      <c r="P38" s="14">
        <f t="shared" si="20"/>
        <v>592</v>
      </c>
      <c r="Q38" s="14">
        <f t="shared" si="21"/>
        <v>592</v>
      </c>
      <c r="R38" s="14">
        <f t="shared" si="22"/>
        <v>590</v>
      </c>
      <c r="S38" s="14">
        <f t="shared" si="23"/>
        <v>590</v>
      </c>
      <c r="T38" s="36" t="s">
        <v>47</v>
      </c>
      <c r="U38" s="37">
        <v>46106</v>
      </c>
      <c r="V38" s="41"/>
      <c r="W38" s="41"/>
      <c r="X38" s="41"/>
    </row>
    <row r="39" s="31" customFormat="1" ht="29" customHeight="1" spans="2:24">
      <c r="B39" s="44">
        <v>46106</v>
      </c>
      <c r="C39" s="36" t="s">
        <v>32</v>
      </c>
      <c r="D39" s="36" t="s">
        <v>101</v>
      </c>
      <c r="E39" s="36" t="s">
        <v>105</v>
      </c>
      <c r="F39" s="36" t="s">
        <v>27</v>
      </c>
      <c r="G39" s="36"/>
      <c r="H39" s="36"/>
      <c r="I39" s="36">
        <v>0.28</v>
      </c>
      <c r="J39" s="36">
        <v>0.22</v>
      </c>
      <c r="K39" s="14">
        <f t="shared" si="18"/>
        <v>0.06</v>
      </c>
      <c r="L39" s="14">
        <v>0</v>
      </c>
      <c r="M39" s="14">
        <f t="shared" si="19"/>
        <v>0.06</v>
      </c>
      <c r="N39" s="14">
        <v>1800</v>
      </c>
      <c r="O39" s="14"/>
      <c r="P39" s="14">
        <f t="shared" si="20"/>
        <v>108</v>
      </c>
      <c r="Q39" s="14">
        <f t="shared" si="21"/>
        <v>108</v>
      </c>
      <c r="R39" s="14">
        <f t="shared" si="22"/>
        <v>100</v>
      </c>
      <c r="S39" s="14">
        <f t="shared" si="23"/>
        <v>100</v>
      </c>
      <c r="T39" s="36" t="s">
        <v>47</v>
      </c>
      <c r="U39" s="37">
        <v>46106</v>
      </c>
      <c r="V39" s="41"/>
      <c r="W39" s="41"/>
      <c r="X39" s="41"/>
    </row>
    <row r="40" s="31" customFormat="1" ht="29" customHeight="1" spans="2:24">
      <c r="B40" s="44">
        <v>46106</v>
      </c>
      <c r="C40" s="36" t="s">
        <v>106</v>
      </c>
      <c r="D40" s="43" t="s">
        <v>93</v>
      </c>
      <c r="E40" s="36" t="s">
        <v>34</v>
      </c>
      <c r="F40" s="36" t="s">
        <v>75</v>
      </c>
      <c r="G40" s="36"/>
      <c r="H40" s="36"/>
      <c r="I40" s="36">
        <v>1.5</v>
      </c>
      <c r="J40" s="36">
        <v>1.13</v>
      </c>
      <c r="K40" s="14">
        <f t="shared" si="18"/>
        <v>0.37</v>
      </c>
      <c r="L40" s="14">
        <v>0</v>
      </c>
      <c r="M40" s="14">
        <f t="shared" si="19"/>
        <v>0.37</v>
      </c>
      <c r="N40" s="14">
        <v>1850</v>
      </c>
      <c r="O40" s="14"/>
      <c r="P40" s="14">
        <f t="shared" si="20"/>
        <v>684.5</v>
      </c>
      <c r="Q40" s="14">
        <f t="shared" si="21"/>
        <v>684.5</v>
      </c>
      <c r="R40" s="14">
        <f t="shared" si="22"/>
        <v>680</v>
      </c>
      <c r="S40" s="14">
        <f t="shared" si="23"/>
        <v>680</v>
      </c>
      <c r="T40" s="36" t="s">
        <v>47</v>
      </c>
      <c r="U40" s="37">
        <v>46107</v>
      </c>
      <c r="V40" s="41"/>
      <c r="W40" s="41"/>
      <c r="X40" s="41"/>
    </row>
    <row r="41" s="31" customFormat="1" ht="29" customHeight="1" spans="2:24">
      <c r="B41" s="44">
        <v>46106</v>
      </c>
      <c r="C41" s="36" t="s">
        <v>107</v>
      </c>
      <c r="D41" s="43" t="s">
        <v>93</v>
      </c>
      <c r="E41" s="36" t="s">
        <v>108</v>
      </c>
      <c r="F41" s="36" t="s">
        <v>75</v>
      </c>
      <c r="G41" s="36"/>
      <c r="H41" s="36"/>
      <c r="I41" s="36">
        <v>1.65</v>
      </c>
      <c r="J41" s="36">
        <v>1.12</v>
      </c>
      <c r="K41" s="14">
        <f t="shared" si="18"/>
        <v>0.53</v>
      </c>
      <c r="L41" s="14">
        <v>0</v>
      </c>
      <c r="M41" s="14">
        <f t="shared" si="19"/>
        <v>0.53</v>
      </c>
      <c r="N41" s="14">
        <v>1930</v>
      </c>
      <c r="O41" s="14"/>
      <c r="P41" s="14">
        <f t="shared" si="20"/>
        <v>1022.9</v>
      </c>
      <c r="Q41" s="14">
        <f t="shared" si="21"/>
        <v>1022.9</v>
      </c>
      <c r="R41" s="14">
        <f t="shared" si="22"/>
        <v>1020</v>
      </c>
      <c r="S41" s="14">
        <f t="shared" si="23"/>
        <v>1020</v>
      </c>
      <c r="T41" s="36" t="s">
        <v>47</v>
      </c>
      <c r="U41" s="37">
        <v>46107</v>
      </c>
      <c r="V41" s="41"/>
      <c r="W41" s="41"/>
      <c r="X41" s="41"/>
    </row>
    <row r="42" s="31" customFormat="1" ht="29" customHeight="1" spans="2:24">
      <c r="B42" s="44">
        <v>46106</v>
      </c>
      <c r="C42" s="36" t="s">
        <v>99</v>
      </c>
      <c r="D42" s="36" t="s">
        <v>100</v>
      </c>
      <c r="E42" s="36" t="s">
        <v>43</v>
      </c>
      <c r="F42" s="36" t="s">
        <v>75</v>
      </c>
      <c r="G42" s="36"/>
      <c r="H42" s="36"/>
      <c r="I42" s="36">
        <v>9.83</v>
      </c>
      <c r="J42" s="36">
        <v>4.37</v>
      </c>
      <c r="K42" s="14">
        <f t="shared" si="18"/>
        <v>5.46</v>
      </c>
      <c r="L42" s="14">
        <v>0.04</v>
      </c>
      <c r="M42" s="14">
        <f t="shared" ref="M42:M53" si="24">K42-L42</f>
        <v>5.42</v>
      </c>
      <c r="N42" s="14">
        <v>1550</v>
      </c>
      <c r="O42" s="14"/>
      <c r="P42" s="14">
        <f t="shared" ref="P42:P53" si="25">K42*N42</f>
        <v>8463</v>
      </c>
      <c r="Q42" s="14">
        <f t="shared" ref="Q42:Q53" si="26">M42*N42</f>
        <v>8401</v>
      </c>
      <c r="R42" s="14">
        <f t="shared" ref="R42:R53" si="27">ROUNDDOWN(M42*N42,-1)</f>
        <v>8400</v>
      </c>
      <c r="S42" s="14">
        <f t="shared" ref="S42:S53" si="28">ROUNDDOWN(M42*N42+O42,-1)</f>
        <v>8400</v>
      </c>
      <c r="T42" s="36" t="s">
        <v>47</v>
      </c>
      <c r="U42" s="37">
        <v>46107</v>
      </c>
      <c r="V42" s="41"/>
      <c r="W42" s="41"/>
      <c r="X42" s="41"/>
    </row>
    <row r="43" s="31" customFormat="1" ht="29" customHeight="1" spans="2:24">
      <c r="B43" s="44">
        <v>46106</v>
      </c>
      <c r="C43" s="36" t="s">
        <v>106</v>
      </c>
      <c r="D43" s="43" t="s">
        <v>93</v>
      </c>
      <c r="E43" s="36" t="s">
        <v>34</v>
      </c>
      <c r="F43" s="36" t="s">
        <v>75</v>
      </c>
      <c r="G43" s="36"/>
      <c r="H43" s="36"/>
      <c r="I43" s="36">
        <v>1.52</v>
      </c>
      <c r="J43" s="36">
        <v>1.12</v>
      </c>
      <c r="K43" s="14">
        <f t="shared" ref="K42:K53" si="29">I43-J43</f>
        <v>0.4</v>
      </c>
      <c r="L43" s="14">
        <v>0</v>
      </c>
      <c r="M43" s="14">
        <f t="shared" si="24"/>
        <v>0.4</v>
      </c>
      <c r="N43" s="14">
        <v>1850</v>
      </c>
      <c r="O43" s="14"/>
      <c r="P43" s="14">
        <f t="shared" si="25"/>
        <v>740</v>
      </c>
      <c r="Q43" s="14">
        <f t="shared" si="26"/>
        <v>740</v>
      </c>
      <c r="R43" s="14">
        <f t="shared" si="27"/>
        <v>740</v>
      </c>
      <c r="S43" s="14">
        <f t="shared" si="28"/>
        <v>740</v>
      </c>
      <c r="T43" s="36" t="s">
        <v>47</v>
      </c>
      <c r="U43" s="37">
        <v>46107</v>
      </c>
      <c r="V43" s="41"/>
      <c r="W43" s="41"/>
      <c r="X43" s="41"/>
    </row>
    <row r="44" s="31" customFormat="1" ht="29" customHeight="1" spans="2:24">
      <c r="B44" s="44">
        <v>46108</v>
      </c>
      <c r="C44" s="36" t="s">
        <v>42</v>
      </c>
      <c r="D44" s="36" t="s">
        <v>41</v>
      </c>
      <c r="E44" s="36" t="s">
        <v>43</v>
      </c>
      <c r="F44" s="36" t="s">
        <v>27</v>
      </c>
      <c r="G44" s="36"/>
      <c r="H44" s="36"/>
      <c r="I44" s="36">
        <v>10.07</v>
      </c>
      <c r="J44" s="36">
        <v>5.03</v>
      </c>
      <c r="K44" s="14">
        <f t="shared" si="29"/>
        <v>5.04</v>
      </c>
      <c r="L44" s="14">
        <v>0.06</v>
      </c>
      <c r="M44" s="14">
        <f t="shared" si="24"/>
        <v>4.98</v>
      </c>
      <c r="N44" s="14">
        <v>1550</v>
      </c>
      <c r="O44" s="14"/>
      <c r="P44" s="14">
        <f t="shared" si="25"/>
        <v>7812</v>
      </c>
      <c r="Q44" s="14">
        <f t="shared" si="26"/>
        <v>7719</v>
      </c>
      <c r="R44" s="14">
        <f t="shared" si="27"/>
        <v>7710</v>
      </c>
      <c r="S44" s="14">
        <f t="shared" si="28"/>
        <v>7710</v>
      </c>
      <c r="T44" s="36"/>
      <c r="U44" s="37"/>
      <c r="V44" s="41"/>
      <c r="W44" s="41"/>
      <c r="X44" s="41"/>
    </row>
    <row r="45" s="31" customFormat="1" ht="29" customHeight="1" spans="2:24">
      <c r="B45" s="44">
        <v>46108</v>
      </c>
      <c r="C45" s="36" t="s">
        <v>109</v>
      </c>
      <c r="D45" s="36" t="s">
        <v>110</v>
      </c>
      <c r="E45" s="36" t="s">
        <v>43</v>
      </c>
      <c r="F45" s="36" t="s">
        <v>75</v>
      </c>
      <c r="G45" s="36"/>
      <c r="H45" s="36"/>
      <c r="I45" s="36">
        <v>8.46</v>
      </c>
      <c r="J45" s="36">
        <v>5.54</v>
      </c>
      <c r="K45" s="14">
        <f t="shared" si="29"/>
        <v>2.92</v>
      </c>
      <c r="L45" s="14">
        <v>0.02</v>
      </c>
      <c r="M45" s="14">
        <f t="shared" si="24"/>
        <v>2.9</v>
      </c>
      <c r="N45" s="14">
        <v>1480</v>
      </c>
      <c r="O45" s="14"/>
      <c r="P45" s="14">
        <f t="shared" si="25"/>
        <v>4321.6</v>
      </c>
      <c r="Q45" s="14">
        <f t="shared" si="26"/>
        <v>4292</v>
      </c>
      <c r="R45" s="14">
        <f t="shared" si="27"/>
        <v>4290</v>
      </c>
      <c r="S45" s="14">
        <f t="shared" si="28"/>
        <v>4290</v>
      </c>
      <c r="T45" s="36" t="s">
        <v>47</v>
      </c>
      <c r="U45" s="37">
        <v>46110</v>
      </c>
      <c r="V45" s="41"/>
      <c r="W45" s="41"/>
      <c r="X45" s="41"/>
    </row>
    <row r="46" s="31" customFormat="1" ht="29" customHeight="1" spans="2:24">
      <c r="B46" s="44">
        <v>46108</v>
      </c>
      <c r="C46" s="36" t="s">
        <v>111</v>
      </c>
      <c r="D46" s="36" t="s">
        <v>112</v>
      </c>
      <c r="E46" s="36" t="s">
        <v>43</v>
      </c>
      <c r="F46" s="36" t="s">
        <v>75</v>
      </c>
      <c r="G46" s="36"/>
      <c r="H46" s="36"/>
      <c r="I46" s="36">
        <v>9.44</v>
      </c>
      <c r="J46" s="36">
        <v>4.44</v>
      </c>
      <c r="K46" s="14">
        <f t="shared" si="29"/>
        <v>5</v>
      </c>
      <c r="L46" s="14">
        <v>0.06</v>
      </c>
      <c r="M46" s="14">
        <f t="shared" si="24"/>
        <v>4.94</v>
      </c>
      <c r="N46" s="14">
        <v>1450</v>
      </c>
      <c r="O46" s="14"/>
      <c r="P46" s="14">
        <f t="shared" si="25"/>
        <v>7250</v>
      </c>
      <c r="Q46" s="14">
        <f t="shared" si="26"/>
        <v>7163</v>
      </c>
      <c r="R46" s="14">
        <f t="shared" si="27"/>
        <v>7160</v>
      </c>
      <c r="S46" s="14">
        <f t="shared" si="28"/>
        <v>7160</v>
      </c>
      <c r="T46" s="36" t="s">
        <v>47</v>
      </c>
      <c r="U46" s="37">
        <v>46110</v>
      </c>
      <c r="V46" s="41"/>
      <c r="W46" s="41"/>
      <c r="X46" s="41"/>
    </row>
    <row r="47" s="31" customFormat="1" ht="29" customHeight="1" spans="2:24">
      <c r="B47" s="44">
        <v>46109</v>
      </c>
      <c r="C47" s="36" t="s">
        <v>111</v>
      </c>
      <c r="D47" s="36" t="s">
        <v>112</v>
      </c>
      <c r="E47" s="36" t="s">
        <v>34</v>
      </c>
      <c r="F47" s="36" t="s">
        <v>75</v>
      </c>
      <c r="G47" s="36"/>
      <c r="H47" s="36"/>
      <c r="I47" s="36">
        <v>13.87</v>
      </c>
      <c r="J47" s="36">
        <v>4.43</v>
      </c>
      <c r="K47" s="14">
        <f t="shared" si="29"/>
        <v>9.44</v>
      </c>
      <c r="L47" s="14">
        <v>0.02</v>
      </c>
      <c r="M47" s="14">
        <f t="shared" si="24"/>
        <v>9.42</v>
      </c>
      <c r="N47" s="14">
        <v>1860</v>
      </c>
      <c r="O47" s="14"/>
      <c r="P47" s="14">
        <f t="shared" si="25"/>
        <v>17558.4</v>
      </c>
      <c r="Q47" s="14">
        <f t="shared" si="26"/>
        <v>17521.2</v>
      </c>
      <c r="R47" s="14">
        <f t="shared" si="27"/>
        <v>17520</v>
      </c>
      <c r="S47" s="14">
        <f t="shared" si="28"/>
        <v>17520</v>
      </c>
      <c r="T47" s="36" t="s">
        <v>47</v>
      </c>
      <c r="U47" s="37">
        <v>46111</v>
      </c>
      <c r="V47" s="41"/>
      <c r="W47" s="41"/>
      <c r="X47" s="41"/>
    </row>
    <row r="48" s="31" customFormat="1" ht="29" customHeight="1" spans="2:24">
      <c r="B48" s="44">
        <v>46109</v>
      </c>
      <c r="C48" s="36" t="s">
        <v>103</v>
      </c>
      <c r="D48" s="36" t="s">
        <v>104</v>
      </c>
      <c r="E48" s="36" t="s">
        <v>34</v>
      </c>
      <c r="F48" s="36" t="s">
        <v>75</v>
      </c>
      <c r="G48" s="36"/>
      <c r="H48" s="36"/>
      <c r="I48" s="36">
        <v>13.57</v>
      </c>
      <c r="J48" s="36">
        <v>5.88</v>
      </c>
      <c r="K48" s="14">
        <f t="shared" si="29"/>
        <v>7.69</v>
      </c>
      <c r="L48" s="14">
        <v>0.04</v>
      </c>
      <c r="M48" s="14">
        <f t="shared" si="24"/>
        <v>7.65</v>
      </c>
      <c r="N48" s="14">
        <v>1850</v>
      </c>
      <c r="O48" s="14"/>
      <c r="P48" s="14">
        <f t="shared" si="25"/>
        <v>14226.5</v>
      </c>
      <c r="Q48" s="14">
        <f t="shared" si="26"/>
        <v>14152.5</v>
      </c>
      <c r="R48" s="14">
        <f t="shared" si="27"/>
        <v>14150</v>
      </c>
      <c r="S48" s="14">
        <f t="shared" si="28"/>
        <v>14150</v>
      </c>
      <c r="T48" s="36"/>
      <c r="U48" s="37"/>
      <c r="V48" s="41"/>
      <c r="W48" s="41"/>
      <c r="X48" s="41"/>
    </row>
    <row r="49" s="31" customFormat="1" ht="29" customHeight="1" spans="2:24">
      <c r="B49" s="44">
        <v>46110</v>
      </c>
      <c r="C49" s="36" t="s">
        <v>94</v>
      </c>
      <c r="D49" s="36" t="s">
        <v>95</v>
      </c>
      <c r="E49" s="36" t="s">
        <v>43</v>
      </c>
      <c r="F49" s="36" t="s">
        <v>75</v>
      </c>
      <c r="G49" s="36"/>
      <c r="H49" s="36"/>
      <c r="I49" s="36">
        <v>19.39</v>
      </c>
      <c r="J49" s="36">
        <v>9.89</v>
      </c>
      <c r="K49" s="14">
        <f t="shared" si="29"/>
        <v>9.5</v>
      </c>
      <c r="L49" s="14">
        <v>0.15</v>
      </c>
      <c r="M49" s="14">
        <f t="shared" si="24"/>
        <v>9.35</v>
      </c>
      <c r="N49" s="14">
        <v>1430</v>
      </c>
      <c r="O49" s="14"/>
      <c r="P49" s="14">
        <f t="shared" si="25"/>
        <v>13585</v>
      </c>
      <c r="Q49" s="14">
        <f t="shared" si="26"/>
        <v>13370.5</v>
      </c>
      <c r="R49" s="14">
        <f t="shared" si="27"/>
        <v>13370</v>
      </c>
      <c r="S49" s="14">
        <f t="shared" si="28"/>
        <v>13370</v>
      </c>
      <c r="T49" s="36" t="s">
        <v>47</v>
      </c>
      <c r="U49" s="37">
        <v>46110</v>
      </c>
      <c r="V49" s="41"/>
      <c r="W49" s="41"/>
      <c r="X49" s="41"/>
    </row>
    <row r="50" s="31" customFormat="1" ht="29" customHeight="1" spans="2:24">
      <c r="B50" s="44">
        <v>46110</v>
      </c>
      <c r="C50" s="36" t="s">
        <v>113</v>
      </c>
      <c r="D50" s="36" t="s">
        <v>114</v>
      </c>
      <c r="E50" s="36" t="s">
        <v>43</v>
      </c>
      <c r="F50" s="36" t="s">
        <v>75</v>
      </c>
      <c r="G50" s="36"/>
      <c r="H50" s="36"/>
      <c r="I50" s="36">
        <v>10.33</v>
      </c>
      <c r="J50" s="36">
        <v>5.31</v>
      </c>
      <c r="K50" s="14">
        <f t="shared" si="29"/>
        <v>5.02</v>
      </c>
      <c r="L50" s="14">
        <v>0.1</v>
      </c>
      <c r="M50" s="14">
        <f t="shared" si="24"/>
        <v>4.92</v>
      </c>
      <c r="N50" s="14">
        <v>1430</v>
      </c>
      <c r="O50" s="14"/>
      <c r="P50" s="14">
        <f t="shared" si="25"/>
        <v>7178.6</v>
      </c>
      <c r="Q50" s="14">
        <f t="shared" si="26"/>
        <v>7035.6</v>
      </c>
      <c r="R50" s="14">
        <f t="shared" si="27"/>
        <v>7030</v>
      </c>
      <c r="S50" s="14">
        <f t="shared" si="28"/>
        <v>7030</v>
      </c>
      <c r="T50" s="36" t="s">
        <v>47</v>
      </c>
      <c r="U50" s="37">
        <v>46110</v>
      </c>
      <c r="V50" s="41"/>
      <c r="W50" s="41"/>
      <c r="X50" s="41"/>
    </row>
    <row r="51" s="31" customFormat="1" ht="29" customHeight="1" spans="2:24">
      <c r="B51" s="44">
        <v>46112</v>
      </c>
      <c r="C51" s="36" t="s">
        <v>115</v>
      </c>
      <c r="D51" s="36" t="s">
        <v>116</v>
      </c>
      <c r="E51" s="36" t="s">
        <v>43</v>
      </c>
      <c r="F51" s="36" t="s">
        <v>91</v>
      </c>
      <c r="G51" s="36"/>
      <c r="H51" s="36"/>
      <c r="I51" s="36">
        <v>6.64</v>
      </c>
      <c r="J51" s="36">
        <v>3.41</v>
      </c>
      <c r="K51" s="14">
        <f t="shared" si="29"/>
        <v>3.23</v>
      </c>
      <c r="L51" s="14">
        <v>0.08</v>
      </c>
      <c r="M51" s="14">
        <f t="shared" si="24"/>
        <v>3.15</v>
      </c>
      <c r="N51" s="14">
        <v>1450</v>
      </c>
      <c r="O51" s="14"/>
      <c r="P51" s="14">
        <f t="shared" si="25"/>
        <v>4683.5</v>
      </c>
      <c r="Q51" s="14">
        <f t="shared" si="26"/>
        <v>4567.5</v>
      </c>
      <c r="R51" s="14">
        <f t="shared" si="27"/>
        <v>4560</v>
      </c>
      <c r="S51" s="14">
        <f t="shared" si="28"/>
        <v>4560</v>
      </c>
      <c r="T51" s="41"/>
      <c r="U51" s="42"/>
      <c r="V51" s="41"/>
      <c r="W51" s="41"/>
      <c r="X51" s="41"/>
    </row>
    <row r="52" s="31" customFormat="1" ht="29" customHeight="1" spans="2:24">
      <c r="B52" s="44">
        <v>46112</v>
      </c>
      <c r="C52" s="36" t="s">
        <v>42</v>
      </c>
      <c r="D52" s="36" t="s">
        <v>41</v>
      </c>
      <c r="E52" s="36" t="s">
        <v>43</v>
      </c>
      <c r="F52" s="36" t="s">
        <v>27</v>
      </c>
      <c r="G52" s="36"/>
      <c r="H52" s="36"/>
      <c r="I52" s="36">
        <v>10.69</v>
      </c>
      <c r="J52" s="36">
        <v>5.02</v>
      </c>
      <c r="K52" s="14">
        <f t="shared" si="29"/>
        <v>5.67</v>
      </c>
      <c r="L52" s="14">
        <v>0.2</v>
      </c>
      <c r="M52" s="14">
        <f t="shared" si="24"/>
        <v>5.47</v>
      </c>
      <c r="N52" s="14">
        <v>1430</v>
      </c>
      <c r="O52" s="14"/>
      <c r="P52" s="14">
        <f t="shared" si="25"/>
        <v>8108.1</v>
      </c>
      <c r="Q52" s="14">
        <f t="shared" si="26"/>
        <v>7822.1</v>
      </c>
      <c r="R52" s="14">
        <f t="shared" si="27"/>
        <v>7820</v>
      </c>
      <c r="S52" s="14">
        <f t="shared" si="28"/>
        <v>7820</v>
      </c>
      <c r="T52" s="41"/>
      <c r="U52" s="42"/>
      <c r="V52" s="41"/>
      <c r="W52" s="41"/>
      <c r="X52" s="41"/>
    </row>
    <row r="53" s="31" customFormat="1" ht="29" customHeight="1" spans="2:24">
      <c r="B53" s="41"/>
      <c r="C53" s="41"/>
      <c r="D53" s="41"/>
      <c r="E53" s="41"/>
      <c r="F53" s="41"/>
      <c r="G53" s="41"/>
      <c r="H53" s="41"/>
      <c r="I53" s="41"/>
      <c r="J53" s="41"/>
      <c r="K53" s="41">
        <f>SUBTOTAL(9,K5:K52)</f>
        <v>268.34</v>
      </c>
      <c r="L53" s="41">
        <f>SUBTOTAL(9,L5:L52)</f>
        <v>4.18</v>
      </c>
      <c r="M53" s="41">
        <f>SUBTOTAL(9,M5:M52)</f>
        <v>264.16</v>
      </c>
      <c r="N53" s="41"/>
      <c r="O53" s="41">
        <f>SUBTOTAL(9,O5:O52)</f>
        <v>0</v>
      </c>
      <c r="P53" s="41">
        <f>SUBTOTAL(9,P5:P52)</f>
        <v>450286.8</v>
      </c>
      <c r="Q53" s="41">
        <f>SUBTOTAL(9,Q5:Q52)</f>
        <v>443876.9</v>
      </c>
      <c r="R53" s="41">
        <f>SUBTOTAL(9,R5:R52)</f>
        <v>446320</v>
      </c>
      <c r="S53" s="41">
        <f>SUBTOTAL(9,S5:S52)</f>
        <v>446320</v>
      </c>
      <c r="T53" s="41"/>
      <c r="U53" s="42"/>
      <c r="V53" s="41"/>
      <c r="W53" s="41"/>
      <c r="X53" s="41"/>
    </row>
  </sheetData>
  <autoFilter xmlns:etc="http://www.wps.cn/officeDocument/2017/etCustomData" ref="B4:X52" etc:filterBottomFollowUsedRange="0">
    <extLst/>
  </autoFilter>
  <mergeCells count="3">
    <mergeCell ref="B2:O2"/>
    <mergeCell ref="B3:H3"/>
    <mergeCell ref="I3:M3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1:X104"/>
  <sheetViews>
    <sheetView showOutlineSymbols="0" workbookViewId="0">
      <pane ySplit="3" topLeftCell="A39" activePane="bottomLeft" state="frozen"/>
      <selection/>
      <selection pane="bottomLeft" activeCell="E1" sqref="E$1:E$1048576"/>
    </sheetView>
  </sheetViews>
  <sheetFormatPr defaultColWidth="9" defaultRowHeight="30" customHeight="1"/>
  <cols>
    <col min="1" max="1" width="2.50925925925926" style="3" customWidth="1"/>
    <col min="2" max="2" width="9" style="3"/>
    <col min="3" max="3" width="12.6296296296296" style="3" customWidth="1"/>
    <col min="4" max="4" width="10.6296296296296" style="3" customWidth="1"/>
    <col min="5" max="5" width="12.75" style="3" customWidth="1"/>
    <col min="6" max="6" width="13" style="3" customWidth="1"/>
    <col min="7" max="10" width="9" style="3"/>
    <col min="11" max="11" width="9.25" style="3"/>
    <col min="12" max="12" width="9" style="3"/>
    <col min="13" max="13" width="9.25" style="3"/>
    <col min="14" max="14" width="12.6296296296296" style="3"/>
    <col min="15" max="15" width="9" style="3"/>
    <col min="16" max="16" width="12.6296296296296" style="3" customWidth="1"/>
    <col min="17" max="17" width="12.75" style="3" customWidth="1"/>
    <col min="18" max="19" width="9.25" style="3"/>
    <col min="20" max="16384" width="9" style="3"/>
  </cols>
  <sheetData>
    <row r="1" s="1" customFormat="1" customHeight="1" spans="2:24">
      <c r="B1" s="23" t="s">
        <v>117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6">
        <f>S103/K103</f>
        <v>1794.60290443902</v>
      </c>
      <c r="Q1" s="6">
        <f>S103/M103</f>
        <v>1816.17897303041</v>
      </c>
      <c r="R1" s="23"/>
      <c r="S1" s="23"/>
      <c r="T1" s="23"/>
      <c r="U1" s="7"/>
    </row>
    <row r="2" s="1" customFormat="1" ht="21" customHeight="1" spans="2:24">
      <c r="B2" s="8" t="s">
        <v>1</v>
      </c>
      <c r="C2" s="9"/>
      <c r="D2" s="9"/>
      <c r="E2" s="9"/>
      <c r="F2" s="9"/>
      <c r="G2" s="9"/>
      <c r="H2" s="9"/>
      <c r="I2" s="9" t="s">
        <v>2</v>
      </c>
      <c r="J2" s="9"/>
      <c r="K2" s="9"/>
      <c r="L2" s="9"/>
      <c r="M2" s="9"/>
      <c r="N2" s="10"/>
      <c r="O2" s="10"/>
      <c r="P2" s="11"/>
      <c r="Q2" s="11"/>
      <c r="R2" s="12"/>
      <c r="S2" s="10"/>
      <c r="T2" s="10"/>
      <c r="U2" s="13"/>
      <c r="V2" s="14"/>
      <c r="W2" s="14"/>
      <c r="X2" s="14"/>
    </row>
    <row r="3" s="1" customFormat="1" customHeight="1" spans="2:24">
      <c r="B3" s="15" t="s">
        <v>3</v>
      </c>
      <c r="C3" s="15" t="s">
        <v>4</v>
      </c>
      <c r="D3" s="16" t="s">
        <v>5</v>
      </c>
      <c r="E3" s="15" t="s">
        <v>6</v>
      </c>
      <c r="F3" s="15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16" t="s">
        <v>16</v>
      </c>
      <c r="P3" s="16" t="s">
        <v>17</v>
      </c>
      <c r="Q3" s="16" t="s">
        <v>18</v>
      </c>
      <c r="R3" s="17" t="s">
        <v>19</v>
      </c>
      <c r="S3" s="16" t="s">
        <v>20</v>
      </c>
      <c r="T3" s="18" t="s">
        <v>21</v>
      </c>
      <c r="U3" s="19" t="s">
        <v>22</v>
      </c>
      <c r="V3" s="14" t="s">
        <v>23</v>
      </c>
      <c r="W3" s="14"/>
      <c r="X3" s="14"/>
    </row>
    <row r="4" customHeight="1" spans="2:24">
      <c r="B4" s="20">
        <v>46113</v>
      </c>
      <c r="C4" s="3" t="s">
        <v>118</v>
      </c>
      <c r="D4" s="3" t="s">
        <v>119</v>
      </c>
      <c r="E4" s="3" t="s">
        <v>37</v>
      </c>
      <c r="F4" s="3" t="s">
        <v>38</v>
      </c>
      <c r="G4" s="3">
        <v>23.68</v>
      </c>
      <c r="H4" s="3">
        <f>K4-G4</f>
        <v>-0.240000000000002</v>
      </c>
      <c r="I4" s="3">
        <v>39.43</v>
      </c>
      <c r="J4" s="3">
        <v>15.99</v>
      </c>
      <c r="K4" s="3">
        <f>I4-J4</f>
        <v>23.44</v>
      </c>
      <c r="L4" s="3">
        <v>0.2</v>
      </c>
      <c r="M4" s="3">
        <f>K4-L4</f>
        <v>23.24</v>
      </c>
      <c r="N4" s="3">
        <v>1870</v>
      </c>
      <c r="P4" s="3">
        <f>K4*N4</f>
        <v>43832.8</v>
      </c>
      <c r="Q4" s="3">
        <f>M4*N4</f>
        <v>43458.8</v>
      </c>
      <c r="R4" s="3">
        <f>ROUNDDOWN(G4*N4,-1)</f>
        <v>44280</v>
      </c>
      <c r="S4" s="3">
        <f>ROUNDDOWN(G4*N4+O4,-1)</f>
        <v>44280</v>
      </c>
      <c r="T4" s="3" t="s">
        <v>47</v>
      </c>
      <c r="U4" s="20">
        <v>46112</v>
      </c>
    </row>
    <row r="5" ht="29" customHeight="1" spans="2:24">
      <c r="B5" s="20">
        <v>46113</v>
      </c>
      <c r="C5" s="3" t="s">
        <v>73</v>
      </c>
      <c r="D5" s="3" t="s">
        <v>74</v>
      </c>
      <c r="E5" s="3" t="s">
        <v>34</v>
      </c>
      <c r="F5" s="3" t="s">
        <v>75</v>
      </c>
      <c r="I5" s="3">
        <v>7.84</v>
      </c>
      <c r="J5" s="3">
        <v>4.48</v>
      </c>
      <c r="K5" s="3">
        <f t="shared" ref="K5:K19" si="0">I5-J5</f>
        <v>3.36</v>
      </c>
      <c r="L5" s="3">
        <v>0.03</v>
      </c>
      <c r="M5" s="3">
        <f t="shared" ref="M5:M19" si="1">K5-L5</f>
        <v>3.33</v>
      </c>
      <c r="N5" s="3">
        <v>1860</v>
      </c>
      <c r="P5" s="3">
        <f t="shared" ref="P5:P19" si="2">K5*N5</f>
        <v>6249.6</v>
      </c>
      <c r="Q5" s="3">
        <f t="shared" ref="Q5:Q19" si="3">M5*N5</f>
        <v>6193.8</v>
      </c>
      <c r="R5" s="3">
        <f>ROUNDDOWN(M5*N5,-1)</f>
        <v>6190</v>
      </c>
      <c r="S5" s="3">
        <f>ROUNDDOWN(M5*N5+O5,-1)</f>
        <v>6190</v>
      </c>
      <c r="T5" s="3" t="s">
        <v>47</v>
      </c>
      <c r="U5" s="20">
        <v>46115</v>
      </c>
    </row>
    <row r="6" customHeight="1" spans="2:24">
      <c r="B6" s="20">
        <v>46113</v>
      </c>
      <c r="C6" s="3" t="s">
        <v>42</v>
      </c>
      <c r="D6" s="3" t="s">
        <v>41</v>
      </c>
      <c r="E6" s="3" t="s">
        <v>43</v>
      </c>
      <c r="F6" s="3" t="s">
        <v>27</v>
      </c>
      <c r="I6" s="3">
        <v>9.92</v>
      </c>
      <c r="J6" s="3">
        <v>5.04</v>
      </c>
      <c r="K6" s="3">
        <f t="shared" si="0"/>
        <v>4.88</v>
      </c>
      <c r="L6" s="3">
        <v>0.1</v>
      </c>
      <c r="M6" s="3">
        <f t="shared" si="1"/>
        <v>4.78</v>
      </c>
      <c r="N6" s="3">
        <v>1450</v>
      </c>
      <c r="P6" s="3">
        <f t="shared" si="2"/>
        <v>7076</v>
      </c>
      <c r="Q6" s="3">
        <f t="shared" si="3"/>
        <v>6931</v>
      </c>
      <c r="R6" s="3">
        <f t="shared" ref="R6:R17" si="4">ROUNDDOWN(M6*N6,-1)</f>
        <v>6930</v>
      </c>
      <c r="S6" s="3">
        <f t="shared" ref="S6:S17" si="5">ROUNDDOWN(M6*N6+O6,-1)</f>
        <v>6930</v>
      </c>
    </row>
    <row r="7" customHeight="1" spans="2:24">
      <c r="B7" s="20">
        <v>46114</v>
      </c>
      <c r="C7" s="3" t="s">
        <v>111</v>
      </c>
      <c r="D7" s="3" t="s">
        <v>112</v>
      </c>
      <c r="E7" s="3" t="s">
        <v>43</v>
      </c>
      <c r="F7" s="3" t="s">
        <v>75</v>
      </c>
      <c r="I7" s="3">
        <v>11.96</v>
      </c>
      <c r="J7" s="3">
        <v>4.45</v>
      </c>
      <c r="K7" s="3">
        <f t="shared" si="0"/>
        <v>7.51</v>
      </c>
      <c r="L7" s="3">
        <v>0.05</v>
      </c>
      <c r="M7" s="3">
        <f t="shared" si="1"/>
        <v>7.46</v>
      </c>
      <c r="N7" s="3">
        <v>1650</v>
      </c>
      <c r="P7" s="3">
        <f t="shared" si="2"/>
        <v>12391.5</v>
      </c>
      <c r="Q7" s="3">
        <f t="shared" si="3"/>
        <v>12309</v>
      </c>
      <c r="R7" s="3">
        <f t="shared" si="4"/>
        <v>12300</v>
      </c>
      <c r="S7" s="3">
        <f t="shared" si="5"/>
        <v>12300</v>
      </c>
    </row>
    <row r="8" customHeight="1" spans="2:24">
      <c r="B8" s="20">
        <v>46114</v>
      </c>
      <c r="C8" s="22" t="s">
        <v>113</v>
      </c>
      <c r="D8" s="3" t="s">
        <v>114</v>
      </c>
      <c r="E8" s="3" t="s">
        <v>43</v>
      </c>
      <c r="F8" s="3" t="s">
        <v>75</v>
      </c>
      <c r="I8" s="3">
        <v>9.81</v>
      </c>
      <c r="J8" s="24">
        <v>5.3</v>
      </c>
      <c r="K8" s="3">
        <f t="shared" si="0"/>
        <v>4.51</v>
      </c>
      <c r="L8" s="3">
        <v>0.08</v>
      </c>
      <c r="M8" s="3">
        <f t="shared" si="1"/>
        <v>4.43</v>
      </c>
      <c r="N8" s="3">
        <v>1450</v>
      </c>
      <c r="P8" s="3">
        <f t="shared" si="2"/>
        <v>6539.5</v>
      </c>
      <c r="Q8" s="3">
        <f t="shared" si="3"/>
        <v>6423.5</v>
      </c>
      <c r="R8" s="3">
        <f t="shared" si="4"/>
        <v>6420</v>
      </c>
      <c r="S8" s="3">
        <f t="shared" si="5"/>
        <v>6420</v>
      </c>
    </row>
    <row r="9" customHeight="1" spans="2:24">
      <c r="B9" s="20">
        <v>46114</v>
      </c>
      <c r="C9" s="3" t="s">
        <v>24</v>
      </c>
      <c r="D9" s="3" t="s">
        <v>25</v>
      </c>
      <c r="E9" s="3" t="s">
        <v>26</v>
      </c>
      <c r="F9" s="3" t="s">
        <v>27</v>
      </c>
      <c r="I9" s="3">
        <v>2.86</v>
      </c>
      <c r="J9" s="3">
        <v>2.49</v>
      </c>
      <c r="K9" s="3">
        <f t="shared" si="0"/>
        <v>0.37</v>
      </c>
      <c r="L9" s="3">
        <v>0</v>
      </c>
      <c r="M9" s="3">
        <f t="shared" si="1"/>
        <v>0.37</v>
      </c>
      <c r="N9" s="3">
        <v>1450</v>
      </c>
      <c r="P9" s="3">
        <f t="shared" si="2"/>
        <v>536.5</v>
      </c>
      <c r="Q9" s="3">
        <f t="shared" si="3"/>
        <v>536.5</v>
      </c>
      <c r="R9" s="3">
        <f t="shared" si="4"/>
        <v>530</v>
      </c>
      <c r="S9" s="3">
        <f t="shared" si="5"/>
        <v>530</v>
      </c>
    </row>
    <row r="10" customHeight="1" spans="2:24">
      <c r="B10" s="20">
        <v>46115</v>
      </c>
      <c r="C10" s="3" t="s">
        <v>120</v>
      </c>
      <c r="D10" s="3" t="s">
        <v>121</v>
      </c>
      <c r="E10" s="3" t="s">
        <v>122</v>
      </c>
      <c r="F10" s="3" t="s">
        <v>75</v>
      </c>
      <c r="G10" s="3">
        <v>22.4</v>
      </c>
      <c r="I10" s="3">
        <v>38.02</v>
      </c>
      <c r="J10" s="3">
        <v>15.83</v>
      </c>
      <c r="K10" s="3">
        <f t="shared" si="0"/>
        <v>22.19</v>
      </c>
      <c r="L10" s="3">
        <v>0.19</v>
      </c>
      <c r="M10" s="3">
        <f t="shared" si="1"/>
        <v>22</v>
      </c>
      <c r="N10" s="3">
        <v>1890</v>
      </c>
      <c r="O10" s="3">
        <v>1100</v>
      </c>
      <c r="P10" s="3">
        <f t="shared" si="2"/>
        <v>41939.1</v>
      </c>
      <c r="Q10" s="3">
        <f t="shared" si="3"/>
        <v>41580</v>
      </c>
      <c r="R10" s="3">
        <f t="shared" si="4"/>
        <v>41580</v>
      </c>
      <c r="S10" s="3">
        <f t="shared" si="5"/>
        <v>42680</v>
      </c>
      <c r="T10" s="3" t="s">
        <v>47</v>
      </c>
      <c r="U10" s="20">
        <v>46116</v>
      </c>
      <c r="V10" s="3" t="s">
        <v>123</v>
      </c>
    </row>
    <row r="11" customHeight="1" spans="2:24">
      <c r="B11" s="20">
        <v>46116</v>
      </c>
      <c r="C11" s="3" t="s">
        <v>73</v>
      </c>
      <c r="D11" s="3" t="s">
        <v>74</v>
      </c>
      <c r="E11" s="3" t="s">
        <v>43</v>
      </c>
      <c r="F11" s="3" t="s">
        <v>75</v>
      </c>
      <c r="I11" s="3">
        <v>7.9</v>
      </c>
      <c r="J11" s="3">
        <v>4.52</v>
      </c>
      <c r="K11" s="3">
        <f t="shared" si="0"/>
        <v>3.38</v>
      </c>
      <c r="L11" s="3">
        <v>0.05</v>
      </c>
      <c r="M11" s="3">
        <f t="shared" si="1"/>
        <v>3.33</v>
      </c>
      <c r="N11" s="3">
        <v>1450</v>
      </c>
      <c r="P11" s="3">
        <f t="shared" si="2"/>
        <v>4901</v>
      </c>
      <c r="Q11" s="3">
        <f t="shared" si="3"/>
        <v>4828.5</v>
      </c>
      <c r="R11" s="3">
        <f t="shared" si="4"/>
        <v>4820</v>
      </c>
      <c r="S11" s="3">
        <f t="shared" si="5"/>
        <v>4820</v>
      </c>
    </row>
    <row r="12" customHeight="1" spans="2:24">
      <c r="B12" s="20">
        <v>46117</v>
      </c>
      <c r="C12" s="3" t="s">
        <v>24</v>
      </c>
      <c r="D12" s="3" t="s">
        <v>25</v>
      </c>
      <c r="E12" s="3" t="s">
        <v>26</v>
      </c>
      <c r="F12" s="3" t="s">
        <v>27</v>
      </c>
      <c r="I12" s="3">
        <v>3.51</v>
      </c>
      <c r="J12" s="3">
        <v>2.58</v>
      </c>
      <c r="K12" s="3">
        <f t="shared" si="0"/>
        <v>0.93</v>
      </c>
      <c r="L12" s="3">
        <v>0.02</v>
      </c>
      <c r="M12" s="3">
        <f t="shared" si="1"/>
        <v>0.91</v>
      </c>
      <c r="N12" s="3">
        <v>1450</v>
      </c>
      <c r="P12" s="3">
        <f t="shared" si="2"/>
        <v>1348.5</v>
      </c>
      <c r="Q12" s="3">
        <f t="shared" si="3"/>
        <v>1319.5</v>
      </c>
      <c r="R12" s="3">
        <f t="shared" si="4"/>
        <v>1310</v>
      </c>
      <c r="S12" s="3">
        <f t="shared" si="5"/>
        <v>1310</v>
      </c>
    </row>
    <row r="13" customHeight="1" spans="2:24">
      <c r="B13" s="20">
        <v>46119</v>
      </c>
      <c r="C13" s="3" t="s">
        <v>124</v>
      </c>
      <c r="D13" s="3" t="s">
        <v>125</v>
      </c>
      <c r="E13" s="3" t="s">
        <v>68</v>
      </c>
      <c r="F13" s="3" t="s">
        <v>126</v>
      </c>
      <c r="I13" s="3">
        <v>28.54</v>
      </c>
      <c r="J13" s="3">
        <v>15.92</v>
      </c>
      <c r="K13" s="3">
        <f t="shared" si="0"/>
        <v>12.62</v>
      </c>
      <c r="L13" s="3">
        <v>0.1</v>
      </c>
      <c r="M13" s="3">
        <f t="shared" si="1"/>
        <v>12.52</v>
      </c>
      <c r="N13" s="3">
        <v>1860</v>
      </c>
      <c r="O13" s="3">
        <v>1200</v>
      </c>
      <c r="P13" s="3">
        <f t="shared" si="2"/>
        <v>23473.2</v>
      </c>
      <c r="Q13" s="3">
        <f t="shared" si="3"/>
        <v>23287.2</v>
      </c>
      <c r="R13" s="3">
        <f>ROUNDDOWN(K13*N13,-1)</f>
        <v>23470</v>
      </c>
      <c r="S13" s="3">
        <f>ROUNDDOWN(K13*N13+O13,-1)</f>
        <v>24670</v>
      </c>
      <c r="T13" s="3" t="s">
        <v>47</v>
      </c>
      <c r="U13" s="20">
        <v>46118</v>
      </c>
    </row>
    <row r="14" customHeight="1" spans="2:24">
      <c r="B14" s="20">
        <v>46119</v>
      </c>
      <c r="C14" s="3" t="s">
        <v>120</v>
      </c>
      <c r="D14" s="3" t="s">
        <v>121</v>
      </c>
      <c r="E14" s="3" t="s">
        <v>37</v>
      </c>
      <c r="F14" s="3" t="s">
        <v>75</v>
      </c>
      <c r="I14" s="3">
        <v>37.15</v>
      </c>
      <c r="J14" s="3">
        <v>16.07</v>
      </c>
      <c r="K14" s="3">
        <f t="shared" si="0"/>
        <v>21.08</v>
      </c>
      <c r="L14" s="3">
        <v>0.3</v>
      </c>
      <c r="M14" s="3">
        <f t="shared" si="1"/>
        <v>20.78</v>
      </c>
      <c r="N14" s="3">
        <v>1840</v>
      </c>
      <c r="O14" s="3">
        <v>1050</v>
      </c>
      <c r="P14" s="3">
        <f t="shared" si="2"/>
        <v>38787.2</v>
      </c>
      <c r="Q14" s="3">
        <f t="shared" si="3"/>
        <v>38235.2</v>
      </c>
      <c r="R14" s="3">
        <f t="shared" si="4"/>
        <v>38230</v>
      </c>
      <c r="S14" s="3">
        <f t="shared" si="5"/>
        <v>39280</v>
      </c>
      <c r="T14" s="3" t="s">
        <v>47</v>
      </c>
    </row>
    <row r="15" customHeight="1" spans="2:24">
      <c r="B15" s="20">
        <v>46119</v>
      </c>
      <c r="C15" s="3" t="s">
        <v>42</v>
      </c>
      <c r="D15" s="3" t="s">
        <v>41</v>
      </c>
      <c r="E15" s="3" t="s">
        <v>43</v>
      </c>
      <c r="F15" s="3" t="s">
        <v>27</v>
      </c>
      <c r="I15" s="3">
        <v>10.71</v>
      </c>
      <c r="J15" s="3">
        <v>5.05</v>
      </c>
      <c r="K15" s="3">
        <f t="shared" si="0"/>
        <v>5.66</v>
      </c>
      <c r="L15" s="3">
        <v>2.5</v>
      </c>
      <c r="M15" s="3">
        <f t="shared" si="1"/>
        <v>3.16</v>
      </c>
      <c r="N15" s="3">
        <v>1450</v>
      </c>
      <c r="P15" s="3">
        <f t="shared" si="2"/>
        <v>8207</v>
      </c>
      <c r="Q15" s="3">
        <f t="shared" si="3"/>
        <v>4582</v>
      </c>
      <c r="R15" s="3">
        <f t="shared" si="4"/>
        <v>4580</v>
      </c>
      <c r="S15" s="3">
        <f t="shared" si="5"/>
        <v>4580</v>
      </c>
    </row>
    <row r="16" customHeight="1" spans="2:24">
      <c r="B16" s="20">
        <v>46119</v>
      </c>
      <c r="C16" s="3" t="s">
        <v>127</v>
      </c>
      <c r="D16" s="3" t="s">
        <v>78</v>
      </c>
      <c r="E16" s="3" t="s">
        <v>128</v>
      </c>
      <c r="F16" s="3" t="s">
        <v>75</v>
      </c>
      <c r="I16" s="3">
        <v>9.97</v>
      </c>
      <c r="J16" s="3">
        <v>3.89</v>
      </c>
      <c r="K16" s="3">
        <f t="shared" si="0"/>
        <v>6.08</v>
      </c>
      <c r="L16" s="3">
        <v>0</v>
      </c>
      <c r="M16" s="3">
        <f t="shared" si="1"/>
        <v>6.08</v>
      </c>
      <c r="N16" s="3">
        <v>1500</v>
      </c>
      <c r="P16" s="3">
        <f t="shared" si="2"/>
        <v>9120</v>
      </c>
      <c r="Q16" s="3">
        <f t="shared" si="3"/>
        <v>9120</v>
      </c>
      <c r="R16" s="3">
        <f t="shared" si="4"/>
        <v>9120</v>
      </c>
      <c r="S16" s="3">
        <f t="shared" si="5"/>
        <v>9120</v>
      </c>
    </row>
    <row r="17" customHeight="1" spans="2:21">
      <c r="B17" s="20">
        <v>46119</v>
      </c>
      <c r="C17" s="3" t="s">
        <v>118</v>
      </c>
      <c r="D17" s="3" t="s">
        <v>119</v>
      </c>
      <c r="E17" s="3" t="s">
        <v>37</v>
      </c>
      <c r="F17" s="3" t="s">
        <v>38</v>
      </c>
      <c r="G17" s="3">
        <v>24.42</v>
      </c>
      <c r="I17" s="3">
        <v>40.17</v>
      </c>
      <c r="J17" s="24">
        <v>15.7</v>
      </c>
      <c r="K17" s="3">
        <f t="shared" si="0"/>
        <v>24.47</v>
      </c>
      <c r="L17" s="3">
        <v>0.3</v>
      </c>
      <c r="M17" s="3">
        <f t="shared" si="1"/>
        <v>24.17</v>
      </c>
      <c r="N17" s="3">
        <v>1870</v>
      </c>
      <c r="P17" s="3">
        <f t="shared" si="2"/>
        <v>45758.9</v>
      </c>
      <c r="Q17" s="3">
        <f t="shared" si="3"/>
        <v>45197.9</v>
      </c>
      <c r="R17" s="3">
        <f>ROUNDDOWN(G17*N17,-1)</f>
        <v>45660</v>
      </c>
      <c r="S17" s="3">
        <f>ROUNDDOWN(G17*N17+O17,-1)</f>
        <v>45660</v>
      </c>
      <c r="T17" s="3" t="s">
        <v>47</v>
      </c>
      <c r="U17" s="20">
        <v>46118</v>
      </c>
    </row>
    <row r="18" customFormat="1" customHeight="1" spans="2:21">
      <c r="B18" s="20">
        <v>46119</v>
      </c>
      <c r="C18" s="3" t="s">
        <v>28</v>
      </c>
      <c r="D18" s="3" t="s">
        <v>129</v>
      </c>
      <c r="E18" s="3" t="s">
        <v>55</v>
      </c>
      <c r="F18" s="3" t="s">
        <v>27</v>
      </c>
      <c r="G18" s="3"/>
      <c r="I18" s="3">
        <v>50.36</v>
      </c>
      <c r="J18" s="24">
        <v>19.16</v>
      </c>
      <c r="K18" s="3">
        <f t="shared" si="0"/>
        <v>31.2</v>
      </c>
      <c r="L18" s="3">
        <v>0</v>
      </c>
      <c r="M18" s="3">
        <f t="shared" si="1"/>
        <v>31.2</v>
      </c>
      <c r="N18" s="3">
        <v>1850</v>
      </c>
      <c r="O18" s="3">
        <v>2800</v>
      </c>
      <c r="P18" s="3">
        <f t="shared" si="2"/>
        <v>57720</v>
      </c>
      <c r="Q18" s="3">
        <f t="shared" si="3"/>
        <v>57720</v>
      </c>
      <c r="R18" s="3">
        <f>ROUNDDOWN(M18*N18,-1)</f>
        <v>57720</v>
      </c>
      <c r="S18" s="3">
        <f>ROUNDDOWN(M18*N18+O18,-1)</f>
        <v>60520</v>
      </c>
      <c r="T18" s="3"/>
      <c r="U18" s="20"/>
    </row>
    <row r="19" s="22" customFormat="1" customHeight="1" spans="2:21">
      <c r="B19" s="25">
        <v>46120</v>
      </c>
      <c r="C19" s="22" t="s">
        <v>130</v>
      </c>
      <c r="D19" s="22" t="s">
        <v>116</v>
      </c>
      <c r="E19" s="22" t="s">
        <v>30</v>
      </c>
      <c r="F19" s="22" t="s">
        <v>91</v>
      </c>
      <c r="I19" s="22">
        <v>6.14</v>
      </c>
      <c r="J19" s="26">
        <v>3.4</v>
      </c>
      <c r="K19" s="22">
        <f t="shared" si="0"/>
        <v>2.74</v>
      </c>
      <c r="L19" s="22">
        <v>0.01</v>
      </c>
      <c r="M19" s="22">
        <f t="shared" si="1"/>
        <v>2.73</v>
      </c>
      <c r="N19" s="22">
        <v>1500</v>
      </c>
      <c r="P19" s="22">
        <f t="shared" si="2"/>
        <v>4110</v>
      </c>
      <c r="Q19" s="22">
        <f t="shared" si="3"/>
        <v>4095</v>
      </c>
      <c r="R19" s="22">
        <f>ROUNDDOWN(M19*N19,-1)</f>
        <v>4090</v>
      </c>
      <c r="S19" s="22">
        <f>ROUNDDOWN(M19*N19+O19,-1)</f>
        <v>4090</v>
      </c>
    </row>
    <row r="20" s="22" customFormat="1" customHeight="1" spans="2:21">
      <c r="B20" s="25">
        <v>46120</v>
      </c>
      <c r="C20" s="22" t="s">
        <v>131</v>
      </c>
      <c r="D20" s="27" t="s">
        <v>93</v>
      </c>
      <c r="E20" s="22" t="s">
        <v>132</v>
      </c>
      <c r="F20" s="22" t="s">
        <v>75</v>
      </c>
      <c r="I20" s="22">
        <v>7.6</v>
      </c>
      <c r="J20" s="22">
        <v>3.33</v>
      </c>
      <c r="K20" s="22">
        <f t="shared" ref="K20:K28" si="6">I20-J20</f>
        <v>4.27</v>
      </c>
      <c r="L20" s="22">
        <v>0.05</v>
      </c>
      <c r="M20" s="22">
        <f t="shared" ref="M20:M28" si="7">K20-L20</f>
        <v>4.22</v>
      </c>
      <c r="N20" s="22">
        <v>1860</v>
      </c>
      <c r="P20" s="22">
        <f t="shared" ref="P20:P28" si="8">K20*N20</f>
        <v>7942.2</v>
      </c>
      <c r="Q20" s="22">
        <f t="shared" ref="Q20:Q28" si="9">M20*N20</f>
        <v>7849.2</v>
      </c>
      <c r="R20" s="22">
        <f t="shared" ref="R20:R28" si="10">ROUNDDOWN(M20*N20,-1)</f>
        <v>7840</v>
      </c>
      <c r="S20" s="22">
        <f t="shared" ref="S20:S28" si="11">ROUNDDOWN(M20*N20+O20,-1)</f>
        <v>7840</v>
      </c>
    </row>
    <row r="21" s="22" customFormat="1" customHeight="1" spans="2:21">
      <c r="B21" s="25">
        <v>46121</v>
      </c>
      <c r="C21" s="22" t="s">
        <v>131</v>
      </c>
      <c r="D21" s="27" t="s">
        <v>93</v>
      </c>
      <c r="E21" s="22" t="s">
        <v>132</v>
      </c>
      <c r="F21" s="22" t="s">
        <v>75</v>
      </c>
      <c r="I21" s="22">
        <v>6.47</v>
      </c>
      <c r="J21" s="22">
        <v>3.41</v>
      </c>
      <c r="K21" s="22">
        <f t="shared" si="6"/>
        <v>3.06</v>
      </c>
      <c r="L21" s="22">
        <v>0.03</v>
      </c>
      <c r="M21" s="22">
        <f t="shared" si="7"/>
        <v>3.03</v>
      </c>
      <c r="N21" s="22">
        <v>1860</v>
      </c>
      <c r="P21" s="22">
        <f t="shared" si="8"/>
        <v>5691.6</v>
      </c>
      <c r="Q21" s="22">
        <f t="shared" si="9"/>
        <v>5635.8</v>
      </c>
      <c r="R21" s="22">
        <f t="shared" si="10"/>
        <v>5630</v>
      </c>
      <c r="S21" s="22">
        <f t="shared" si="11"/>
        <v>5630</v>
      </c>
    </row>
    <row r="22" s="22" customFormat="1" customHeight="1" spans="2:21">
      <c r="B22" s="25">
        <v>46121</v>
      </c>
      <c r="C22" s="22" t="s">
        <v>94</v>
      </c>
      <c r="D22" s="22" t="s">
        <v>95</v>
      </c>
      <c r="E22" s="22" t="s">
        <v>105</v>
      </c>
      <c r="F22" s="22" t="s">
        <v>75</v>
      </c>
      <c r="I22" s="22">
        <v>23.23</v>
      </c>
      <c r="J22" s="22">
        <v>10.09</v>
      </c>
      <c r="K22" s="22">
        <f t="shared" si="6"/>
        <v>13.14</v>
      </c>
      <c r="L22" s="22">
        <v>0.06</v>
      </c>
      <c r="M22" s="22">
        <f t="shared" si="7"/>
        <v>13.08</v>
      </c>
      <c r="N22" s="22">
        <v>1840</v>
      </c>
      <c r="P22" s="22">
        <f t="shared" si="8"/>
        <v>24177.6</v>
      </c>
      <c r="Q22" s="22">
        <f t="shared" si="9"/>
        <v>24067.2</v>
      </c>
      <c r="R22" s="22">
        <f t="shared" si="10"/>
        <v>24060</v>
      </c>
      <c r="S22" s="22">
        <f t="shared" si="11"/>
        <v>24060</v>
      </c>
    </row>
    <row r="23" s="22" customFormat="1" customHeight="1" spans="2:21">
      <c r="B23" s="25">
        <v>46121</v>
      </c>
      <c r="C23" s="22" t="s">
        <v>130</v>
      </c>
      <c r="D23" s="22" t="s">
        <v>116</v>
      </c>
      <c r="E23" s="22" t="s">
        <v>30</v>
      </c>
      <c r="F23" s="22" t="s">
        <v>91</v>
      </c>
      <c r="I23" s="22">
        <v>6.55</v>
      </c>
      <c r="J23" s="22">
        <v>3.38</v>
      </c>
      <c r="K23" s="22">
        <f t="shared" si="6"/>
        <v>3.17</v>
      </c>
      <c r="L23" s="22">
        <v>0.08</v>
      </c>
      <c r="M23" s="22">
        <f t="shared" si="7"/>
        <v>3.09</v>
      </c>
      <c r="N23" s="22">
        <v>1450</v>
      </c>
      <c r="P23" s="22">
        <f t="shared" si="8"/>
        <v>4596.5</v>
      </c>
      <c r="Q23" s="22">
        <f t="shared" si="9"/>
        <v>4480.5</v>
      </c>
      <c r="R23" s="22">
        <f t="shared" si="10"/>
        <v>4480</v>
      </c>
      <c r="S23" s="22">
        <f t="shared" si="11"/>
        <v>4480</v>
      </c>
    </row>
    <row r="24" s="22" customFormat="1" customHeight="1" spans="2:21">
      <c r="B24" s="25">
        <v>46122</v>
      </c>
      <c r="C24" s="22" t="s">
        <v>133</v>
      </c>
      <c r="D24" s="22" t="s">
        <v>134</v>
      </c>
      <c r="E24" s="22" t="s">
        <v>43</v>
      </c>
      <c r="F24" s="22" t="s">
        <v>75</v>
      </c>
      <c r="I24" s="22">
        <v>7.44</v>
      </c>
      <c r="J24" s="22">
        <v>3.99</v>
      </c>
      <c r="K24" s="22">
        <f t="shared" si="6"/>
        <v>3.45</v>
      </c>
      <c r="L24" s="22">
        <v>0.08</v>
      </c>
      <c r="M24" s="22">
        <f t="shared" si="7"/>
        <v>3.37</v>
      </c>
      <c r="N24" s="22">
        <v>1450</v>
      </c>
      <c r="P24" s="22">
        <f t="shared" si="8"/>
        <v>5002.5</v>
      </c>
      <c r="Q24" s="22">
        <f t="shared" si="9"/>
        <v>4886.5</v>
      </c>
      <c r="R24" s="22">
        <f t="shared" si="10"/>
        <v>4880</v>
      </c>
      <c r="S24" s="22">
        <f t="shared" si="11"/>
        <v>4880</v>
      </c>
    </row>
    <row r="25" s="22" customFormat="1" customHeight="1" spans="2:21">
      <c r="B25" s="25">
        <v>46122</v>
      </c>
      <c r="C25" s="22" t="s">
        <v>103</v>
      </c>
      <c r="D25" s="22" t="s">
        <v>104</v>
      </c>
      <c r="E25" s="22" t="s">
        <v>37</v>
      </c>
      <c r="F25" s="22" t="s">
        <v>75</v>
      </c>
      <c r="I25" s="22">
        <v>12.9</v>
      </c>
      <c r="J25" s="22">
        <v>5.86</v>
      </c>
      <c r="K25" s="22">
        <f t="shared" si="6"/>
        <v>7.04</v>
      </c>
      <c r="L25" s="22">
        <v>0.05</v>
      </c>
      <c r="M25" s="22">
        <f t="shared" si="7"/>
        <v>6.99</v>
      </c>
      <c r="N25" s="22">
        <v>1830</v>
      </c>
      <c r="P25" s="22">
        <f t="shared" si="8"/>
        <v>12883.2</v>
      </c>
      <c r="Q25" s="22">
        <f t="shared" si="9"/>
        <v>12791.7</v>
      </c>
      <c r="R25" s="22">
        <f t="shared" si="10"/>
        <v>12790</v>
      </c>
      <c r="S25" s="22">
        <f t="shared" si="11"/>
        <v>12790</v>
      </c>
    </row>
    <row r="26" s="22" customFormat="1" customHeight="1" spans="2:21">
      <c r="B26" s="25">
        <v>46122</v>
      </c>
      <c r="C26" s="22" t="s">
        <v>94</v>
      </c>
      <c r="D26" s="22" t="s">
        <v>95</v>
      </c>
      <c r="E26" s="22" t="s">
        <v>37</v>
      </c>
      <c r="F26" s="22" t="s">
        <v>75</v>
      </c>
      <c r="I26" s="22">
        <v>19.87</v>
      </c>
      <c r="J26" s="22">
        <v>10.13</v>
      </c>
      <c r="K26" s="22">
        <f t="shared" si="6"/>
        <v>9.74</v>
      </c>
      <c r="L26" s="22">
        <v>0</v>
      </c>
      <c r="M26" s="22">
        <f t="shared" si="7"/>
        <v>9.74</v>
      </c>
      <c r="N26" s="22">
        <v>1850</v>
      </c>
      <c r="P26" s="22">
        <f t="shared" si="8"/>
        <v>18019</v>
      </c>
      <c r="Q26" s="22">
        <f t="shared" si="9"/>
        <v>18019</v>
      </c>
      <c r="R26" s="22">
        <f t="shared" si="10"/>
        <v>18010</v>
      </c>
      <c r="S26" s="22">
        <f t="shared" si="11"/>
        <v>18010</v>
      </c>
    </row>
    <row r="27" s="22" customFormat="1" customHeight="1" spans="2:21">
      <c r="B27" s="25">
        <v>46122</v>
      </c>
      <c r="C27" s="22" t="s">
        <v>135</v>
      </c>
      <c r="D27" s="22" t="s">
        <v>136</v>
      </c>
      <c r="E27" s="22" t="s">
        <v>128</v>
      </c>
      <c r="F27" s="22" t="s">
        <v>75</v>
      </c>
      <c r="I27" s="22">
        <v>16.66</v>
      </c>
      <c r="J27" s="22">
        <v>4.61</v>
      </c>
      <c r="K27" s="22">
        <f t="shared" si="6"/>
        <v>12.05</v>
      </c>
      <c r="L27" s="22">
        <v>0.12</v>
      </c>
      <c r="M27" s="22">
        <f t="shared" si="7"/>
        <v>11.93</v>
      </c>
      <c r="N27" s="22">
        <v>1500</v>
      </c>
      <c r="P27" s="22">
        <f t="shared" si="8"/>
        <v>18075</v>
      </c>
      <c r="Q27" s="22">
        <f t="shared" si="9"/>
        <v>17895</v>
      </c>
      <c r="R27" s="22">
        <f t="shared" si="10"/>
        <v>17890</v>
      </c>
      <c r="S27" s="22">
        <f t="shared" si="11"/>
        <v>17890</v>
      </c>
      <c r="T27" s="28" t="s">
        <v>76</v>
      </c>
      <c r="U27" s="29">
        <v>46125</v>
      </c>
    </row>
    <row r="28" s="22" customFormat="1" customHeight="1" spans="2:21">
      <c r="B28" s="25">
        <v>46122</v>
      </c>
      <c r="C28" s="22" t="s">
        <v>109</v>
      </c>
      <c r="D28" s="22" t="s">
        <v>110</v>
      </c>
      <c r="E28" s="22" t="s">
        <v>105</v>
      </c>
      <c r="F28" s="22" t="s">
        <v>75</v>
      </c>
      <c r="I28" s="22">
        <v>10.55</v>
      </c>
      <c r="J28" s="22">
        <v>5.99</v>
      </c>
      <c r="K28" s="22">
        <f t="shared" si="6"/>
        <v>4.56</v>
      </c>
      <c r="L28" s="22">
        <v>0.12</v>
      </c>
      <c r="M28" s="22">
        <f t="shared" si="7"/>
        <v>4.44</v>
      </c>
      <c r="N28" s="22">
        <v>1800</v>
      </c>
      <c r="P28" s="22">
        <f t="shared" si="8"/>
        <v>8208</v>
      </c>
      <c r="Q28" s="22">
        <f t="shared" si="9"/>
        <v>7992</v>
      </c>
      <c r="R28" s="22">
        <f t="shared" si="10"/>
        <v>7990</v>
      </c>
      <c r="S28" s="22">
        <f t="shared" si="11"/>
        <v>7990</v>
      </c>
    </row>
    <row r="29" s="22" customFormat="1" customHeight="1" spans="2:21">
      <c r="B29" s="25">
        <v>46123</v>
      </c>
      <c r="C29" s="22" t="s">
        <v>111</v>
      </c>
      <c r="D29" s="22" t="s">
        <v>112</v>
      </c>
      <c r="E29" s="22" t="s">
        <v>34</v>
      </c>
      <c r="F29" s="22" t="s">
        <v>75</v>
      </c>
      <c r="I29" s="22">
        <v>19.01</v>
      </c>
      <c r="J29" s="22">
        <v>4.5</v>
      </c>
      <c r="K29" s="22">
        <f t="shared" ref="K29:K39" si="12">I29-J29</f>
        <v>14.51</v>
      </c>
      <c r="L29" s="22">
        <v>0.05</v>
      </c>
      <c r="M29" s="22">
        <f t="shared" ref="M29:M39" si="13">K29-L29</f>
        <v>14.46</v>
      </c>
      <c r="N29" s="22">
        <v>2020</v>
      </c>
      <c r="P29" s="22">
        <f t="shared" ref="P29:P40" si="14">K29*N29</f>
        <v>29310.2</v>
      </c>
      <c r="Q29" s="22">
        <f t="shared" ref="Q29:Q40" si="15">M29*N29</f>
        <v>29209.2</v>
      </c>
      <c r="R29" s="22">
        <f t="shared" ref="R29:R40" si="16">ROUNDDOWN(M29*N29,-1)</f>
        <v>29200</v>
      </c>
      <c r="S29" s="22">
        <f t="shared" ref="S29:S40" si="17">ROUNDDOWN(M29*N29+O29,-1)</f>
        <v>29200</v>
      </c>
    </row>
    <row r="30" s="22" customFormat="1" customHeight="1" spans="2:21">
      <c r="B30" s="25">
        <v>46123</v>
      </c>
      <c r="C30" s="22" t="s">
        <v>113</v>
      </c>
      <c r="D30" s="22" t="s">
        <v>114</v>
      </c>
      <c r="E30" s="22" t="s">
        <v>37</v>
      </c>
      <c r="F30" s="22" t="s">
        <v>75</v>
      </c>
      <c r="I30" s="22">
        <v>13.11</v>
      </c>
      <c r="J30" s="22">
        <v>5.28</v>
      </c>
      <c r="K30" s="22">
        <f t="shared" si="12"/>
        <v>7.83</v>
      </c>
      <c r="L30" s="22">
        <v>0.03</v>
      </c>
      <c r="M30" s="22">
        <f t="shared" si="13"/>
        <v>7.8</v>
      </c>
      <c r="N30" s="22">
        <v>1850</v>
      </c>
      <c r="P30" s="22">
        <f t="shared" si="14"/>
        <v>14485.5</v>
      </c>
      <c r="Q30" s="22">
        <f t="shared" si="15"/>
        <v>14430</v>
      </c>
      <c r="R30" s="22">
        <f t="shared" si="16"/>
        <v>14430</v>
      </c>
      <c r="S30" s="22">
        <f t="shared" si="17"/>
        <v>14430</v>
      </c>
    </row>
    <row r="31" s="22" customFormat="1" customHeight="1" spans="2:21">
      <c r="B31" s="25">
        <v>46123</v>
      </c>
      <c r="C31" s="22" t="s">
        <v>135</v>
      </c>
      <c r="D31" s="22" t="s">
        <v>136</v>
      </c>
      <c r="E31" s="22" t="s">
        <v>128</v>
      </c>
      <c r="F31" s="22" t="s">
        <v>75</v>
      </c>
      <c r="I31" s="22">
        <v>12.27</v>
      </c>
      <c r="J31" s="22">
        <v>4.61</v>
      </c>
      <c r="K31" s="22">
        <f t="shared" si="12"/>
        <v>7.66</v>
      </c>
      <c r="L31" s="22">
        <v>0.06</v>
      </c>
      <c r="M31" s="22">
        <f t="shared" si="13"/>
        <v>7.6</v>
      </c>
      <c r="N31" s="22">
        <v>1500</v>
      </c>
      <c r="P31" s="22">
        <f t="shared" si="14"/>
        <v>11490</v>
      </c>
      <c r="Q31" s="22">
        <f t="shared" si="15"/>
        <v>11400</v>
      </c>
      <c r="R31" s="22">
        <f t="shared" si="16"/>
        <v>11400</v>
      </c>
      <c r="S31" s="22">
        <f t="shared" si="17"/>
        <v>11400</v>
      </c>
      <c r="T31" s="28" t="s">
        <v>76</v>
      </c>
      <c r="U31" s="29">
        <v>46129</v>
      </c>
    </row>
    <row r="32" s="22" customFormat="1" customHeight="1" spans="2:21">
      <c r="B32" s="25">
        <v>46123</v>
      </c>
      <c r="C32" s="22" t="s">
        <v>137</v>
      </c>
      <c r="D32" s="22" t="s">
        <v>138</v>
      </c>
      <c r="E32" s="22" t="s">
        <v>34</v>
      </c>
      <c r="F32" s="22" t="s">
        <v>75</v>
      </c>
      <c r="I32" s="22">
        <v>5.35</v>
      </c>
      <c r="J32" s="22">
        <v>3.39</v>
      </c>
      <c r="K32" s="22">
        <f t="shared" si="12"/>
        <v>1.96</v>
      </c>
      <c r="L32" s="22">
        <v>0</v>
      </c>
      <c r="M32" s="22">
        <f t="shared" si="13"/>
        <v>1.96</v>
      </c>
      <c r="N32" s="22">
        <v>1900</v>
      </c>
      <c r="P32" s="22">
        <f t="shared" si="14"/>
        <v>3724</v>
      </c>
      <c r="Q32" s="22">
        <f t="shared" si="15"/>
        <v>3724</v>
      </c>
      <c r="R32" s="22">
        <f t="shared" si="16"/>
        <v>3720</v>
      </c>
      <c r="S32" s="22">
        <f t="shared" si="17"/>
        <v>3720</v>
      </c>
    </row>
    <row r="33" s="22" customFormat="1" customHeight="1" spans="2:19">
      <c r="B33" s="25">
        <v>46123</v>
      </c>
      <c r="C33" s="22" t="s">
        <v>139</v>
      </c>
      <c r="D33" s="22" t="s">
        <v>140</v>
      </c>
      <c r="E33" s="22" t="s">
        <v>34</v>
      </c>
      <c r="F33" s="22" t="s">
        <v>75</v>
      </c>
      <c r="I33" s="22">
        <v>7.47</v>
      </c>
      <c r="J33" s="22">
        <v>5.14</v>
      </c>
      <c r="K33" s="22">
        <f t="shared" si="12"/>
        <v>2.33</v>
      </c>
      <c r="L33" s="22">
        <v>0.01</v>
      </c>
      <c r="M33" s="22">
        <f t="shared" si="13"/>
        <v>2.32</v>
      </c>
      <c r="N33" s="22">
        <v>2000</v>
      </c>
      <c r="P33" s="22">
        <f t="shared" si="14"/>
        <v>4660</v>
      </c>
      <c r="Q33" s="22">
        <f t="shared" si="15"/>
        <v>4640</v>
      </c>
      <c r="R33" s="22">
        <f t="shared" si="16"/>
        <v>4640</v>
      </c>
      <c r="S33" s="22">
        <f t="shared" si="17"/>
        <v>4640</v>
      </c>
    </row>
    <row r="34" s="22" customFormat="1" customHeight="1" spans="2:19">
      <c r="B34" s="25">
        <v>46123</v>
      </c>
      <c r="C34" s="22" t="s">
        <v>141</v>
      </c>
      <c r="D34" s="22" t="s">
        <v>142</v>
      </c>
      <c r="E34" s="22" t="s">
        <v>143</v>
      </c>
      <c r="F34" s="22" t="s">
        <v>75</v>
      </c>
      <c r="I34" s="22">
        <v>24.52</v>
      </c>
      <c r="J34" s="22">
        <v>12.6</v>
      </c>
      <c r="K34" s="22">
        <f t="shared" si="12"/>
        <v>11.92</v>
      </c>
      <c r="L34" s="22">
        <v>0</v>
      </c>
      <c r="M34" s="22">
        <f t="shared" si="13"/>
        <v>11.92</v>
      </c>
      <c r="N34" s="22">
        <v>1900</v>
      </c>
      <c r="P34" s="22">
        <f t="shared" si="14"/>
        <v>22648</v>
      </c>
      <c r="Q34" s="22">
        <f t="shared" si="15"/>
        <v>22648</v>
      </c>
      <c r="R34" s="22">
        <f t="shared" si="16"/>
        <v>22640</v>
      </c>
      <c r="S34" s="22">
        <f t="shared" si="17"/>
        <v>22640</v>
      </c>
    </row>
    <row r="35" s="22" customFormat="1" customHeight="1" spans="2:19">
      <c r="B35" s="25">
        <v>46123</v>
      </c>
      <c r="C35" s="22" t="s">
        <v>106</v>
      </c>
      <c r="D35" s="27" t="s">
        <v>93</v>
      </c>
      <c r="E35" s="22" t="s">
        <v>144</v>
      </c>
      <c r="F35" s="22" t="s">
        <v>75</v>
      </c>
      <c r="I35" s="22">
        <v>1.61</v>
      </c>
      <c r="J35" s="22">
        <v>1.18</v>
      </c>
      <c r="K35" s="22">
        <f t="shared" si="12"/>
        <v>0.43</v>
      </c>
      <c r="L35" s="22">
        <v>0</v>
      </c>
      <c r="M35" s="22">
        <f t="shared" si="13"/>
        <v>0.43</v>
      </c>
      <c r="N35" s="22">
        <v>1850</v>
      </c>
      <c r="P35" s="22">
        <f t="shared" si="14"/>
        <v>795.5</v>
      </c>
      <c r="Q35" s="22">
        <f t="shared" si="15"/>
        <v>795.5</v>
      </c>
      <c r="R35" s="22">
        <f t="shared" si="16"/>
        <v>790</v>
      </c>
      <c r="S35" s="22">
        <f t="shared" si="17"/>
        <v>790</v>
      </c>
    </row>
    <row r="36" s="22" customFormat="1" customHeight="1" spans="2:19">
      <c r="B36" s="25">
        <v>46124</v>
      </c>
      <c r="C36" s="22" t="s">
        <v>120</v>
      </c>
      <c r="D36" s="22" t="s">
        <v>87</v>
      </c>
      <c r="E36" s="22" t="s">
        <v>37</v>
      </c>
      <c r="F36" s="22" t="s">
        <v>75</v>
      </c>
      <c r="I36" s="22">
        <v>27.55</v>
      </c>
      <c r="J36" s="22">
        <v>15.8</v>
      </c>
      <c r="K36" s="22">
        <f t="shared" si="12"/>
        <v>11.75</v>
      </c>
      <c r="L36" s="22">
        <v>0.2</v>
      </c>
      <c r="M36" s="22">
        <f t="shared" si="13"/>
        <v>11.55</v>
      </c>
      <c r="N36" s="22">
        <v>1820</v>
      </c>
      <c r="O36" s="22">
        <v>400</v>
      </c>
      <c r="P36" s="22">
        <f t="shared" si="14"/>
        <v>21385</v>
      </c>
      <c r="Q36" s="22">
        <f t="shared" si="15"/>
        <v>21021</v>
      </c>
      <c r="R36" s="22">
        <f>ROUNDDOWN(M36*N36-1000,-1)</f>
        <v>20020</v>
      </c>
      <c r="S36" s="22">
        <f>ROUNDDOWN(M36*N36+O36-1000,-1)</f>
        <v>20420</v>
      </c>
    </row>
    <row r="37" s="22" customFormat="1" customHeight="1" spans="2:19">
      <c r="B37" s="25">
        <v>46124</v>
      </c>
      <c r="C37" s="22" t="s">
        <v>145</v>
      </c>
      <c r="D37" s="22" t="s">
        <v>146</v>
      </c>
      <c r="E37" s="22" t="s">
        <v>147</v>
      </c>
      <c r="F37" s="22" t="s">
        <v>75</v>
      </c>
      <c r="I37" s="22">
        <v>4.68</v>
      </c>
      <c r="J37" s="22">
        <v>3.64</v>
      </c>
      <c r="K37" s="22">
        <f t="shared" si="12"/>
        <v>1.04</v>
      </c>
      <c r="L37" s="22">
        <v>0</v>
      </c>
      <c r="M37" s="22">
        <f t="shared" si="13"/>
        <v>1.04</v>
      </c>
      <c r="N37" s="22">
        <v>1900</v>
      </c>
      <c r="P37" s="22">
        <f t="shared" si="14"/>
        <v>1976</v>
      </c>
      <c r="Q37" s="22">
        <f t="shared" si="15"/>
        <v>1976</v>
      </c>
      <c r="R37" s="22">
        <f t="shared" si="16"/>
        <v>1970</v>
      </c>
      <c r="S37" s="22">
        <f t="shared" si="17"/>
        <v>1970</v>
      </c>
    </row>
    <row r="38" s="22" customFormat="1" customHeight="1" spans="2:19">
      <c r="B38" s="25">
        <v>46124</v>
      </c>
      <c r="C38" s="22" t="s">
        <v>145</v>
      </c>
      <c r="D38" s="22" t="s">
        <v>146</v>
      </c>
      <c r="E38" s="22" t="s">
        <v>147</v>
      </c>
      <c r="F38" s="22" t="s">
        <v>75</v>
      </c>
      <c r="I38" s="22">
        <v>4.95</v>
      </c>
      <c r="J38" s="22">
        <v>3.64</v>
      </c>
      <c r="K38" s="22">
        <f t="shared" si="12"/>
        <v>1.31</v>
      </c>
      <c r="L38" s="22">
        <v>0.01</v>
      </c>
      <c r="M38" s="22">
        <f t="shared" si="13"/>
        <v>1.3</v>
      </c>
      <c r="N38" s="22">
        <v>1950</v>
      </c>
      <c r="P38" s="22">
        <f t="shared" si="14"/>
        <v>2554.5</v>
      </c>
      <c r="Q38" s="22">
        <f t="shared" si="15"/>
        <v>2535</v>
      </c>
      <c r="R38" s="22">
        <f t="shared" si="16"/>
        <v>2530</v>
      </c>
      <c r="S38" s="22">
        <f t="shared" si="17"/>
        <v>2530</v>
      </c>
    </row>
    <row r="39" s="22" customFormat="1" customHeight="1" spans="2:19">
      <c r="B39" s="25">
        <v>46124</v>
      </c>
      <c r="C39" s="22" t="s">
        <v>113</v>
      </c>
      <c r="D39" s="22" t="s">
        <v>114</v>
      </c>
      <c r="E39" s="22" t="s">
        <v>37</v>
      </c>
      <c r="F39" s="22" t="s">
        <v>75</v>
      </c>
      <c r="I39" s="22">
        <v>11.52</v>
      </c>
      <c r="J39" s="22">
        <v>5.27</v>
      </c>
      <c r="K39" s="22">
        <f t="shared" si="12"/>
        <v>6.25</v>
      </c>
      <c r="L39" s="22">
        <v>0.03</v>
      </c>
      <c r="M39" s="22">
        <f t="shared" si="13"/>
        <v>6.22</v>
      </c>
      <c r="N39" s="22">
        <v>1850</v>
      </c>
      <c r="P39" s="22">
        <f t="shared" si="14"/>
        <v>11562.5</v>
      </c>
      <c r="Q39" s="22">
        <f t="shared" si="15"/>
        <v>11507</v>
      </c>
      <c r="R39" s="22">
        <f t="shared" si="16"/>
        <v>11500</v>
      </c>
      <c r="S39" s="22">
        <f t="shared" si="17"/>
        <v>11500</v>
      </c>
    </row>
    <row r="40" s="2" customFormat="1" customHeight="1" spans="2:19">
      <c r="B40" s="25">
        <v>46124</v>
      </c>
      <c r="C40" s="22" t="s">
        <v>106</v>
      </c>
      <c r="D40" s="27" t="s">
        <v>93</v>
      </c>
      <c r="E40" s="22" t="s">
        <v>144</v>
      </c>
      <c r="F40" s="22" t="s">
        <v>75</v>
      </c>
      <c r="G40" s="22"/>
      <c r="H40" s="22"/>
      <c r="I40" s="22">
        <v>1.84</v>
      </c>
      <c r="J40" s="22">
        <v>1.16</v>
      </c>
      <c r="K40" s="22">
        <f t="shared" ref="K40:K55" si="18">I40-J40</f>
        <v>0.68</v>
      </c>
      <c r="L40" s="22">
        <v>0</v>
      </c>
      <c r="M40" s="22">
        <f t="shared" ref="M40:M55" si="19">K40-L40</f>
        <v>0.68</v>
      </c>
      <c r="N40" s="22">
        <v>1850</v>
      </c>
      <c r="O40" s="22"/>
      <c r="P40" s="22">
        <f t="shared" si="14"/>
        <v>1258</v>
      </c>
      <c r="Q40" s="22">
        <f t="shared" si="15"/>
        <v>1258</v>
      </c>
      <c r="R40" s="22">
        <f t="shared" si="16"/>
        <v>1250</v>
      </c>
      <c r="S40" s="22">
        <f t="shared" si="17"/>
        <v>1250</v>
      </c>
    </row>
    <row r="41" s="2" customFormat="1" customHeight="1" spans="2:19">
      <c r="B41" s="25">
        <v>46124</v>
      </c>
      <c r="C41" s="22" t="s">
        <v>99</v>
      </c>
      <c r="D41" s="22" t="s">
        <v>100</v>
      </c>
      <c r="E41" s="22" t="s">
        <v>148</v>
      </c>
      <c r="F41" s="22" t="s">
        <v>75</v>
      </c>
      <c r="G41" s="22"/>
      <c r="H41" s="22"/>
      <c r="I41" s="22">
        <v>8.49</v>
      </c>
      <c r="J41" s="22">
        <v>4.36</v>
      </c>
      <c r="K41" s="22">
        <f t="shared" si="18"/>
        <v>4.13</v>
      </c>
      <c r="L41" s="22">
        <v>0.03</v>
      </c>
      <c r="M41" s="22">
        <f t="shared" si="19"/>
        <v>4.1</v>
      </c>
      <c r="N41" s="22">
        <v>1550</v>
      </c>
      <c r="O41" s="22"/>
      <c r="P41" s="22">
        <f t="shared" ref="P41:P55" si="20">K41*N41</f>
        <v>6401.5</v>
      </c>
      <c r="Q41" s="22">
        <f t="shared" ref="Q41:Q55" si="21">M41*N41</f>
        <v>6355</v>
      </c>
      <c r="R41" s="22">
        <f t="shared" ref="R41:R50" si="22">ROUNDDOWN(M41*N41,-1)</f>
        <v>6350</v>
      </c>
      <c r="S41" s="22">
        <f t="shared" ref="S41:S50" si="23">ROUNDDOWN(M41*N41+O41,-1)</f>
        <v>6350</v>
      </c>
    </row>
    <row r="42" s="2" customFormat="1" customHeight="1" spans="2:19">
      <c r="B42" s="25">
        <v>46124</v>
      </c>
      <c r="C42" s="22" t="s">
        <v>103</v>
      </c>
      <c r="D42" s="22" t="s">
        <v>104</v>
      </c>
      <c r="E42" s="22" t="s">
        <v>37</v>
      </c>
      <c r="F42" s="22" t="s">
        <v>75</v>
      </c>
      <c r="G42" s="22"/>
      <c r="H42" s="22"/>
      <c r="I42" s="22">
        <v>14.65</v>
      </c>
      <c r="J42" s="22">
        <v>5.98</v>
      </c>
      <c r="K42" s="22">
        <f t="shared" si="18"/>
        <v>8.67</v>
      </c>
      <c r="L42" s="22">
        <v>0.06</v>
      </c>
      <c r="M42" s="22">
        <f t="shared" si="19"/>
        <v>8.61</v>
      </c>
      <c r="N42" s="22">
        <v>1850</v>
      </c>
      <c r="O42" s="22"/>
      <c r="P42" s="22">
        <f t="shared" si="20"/>
        <v>16039.5</v>
      </c>
      <c r="Q42" s="22">
        <f t="shared" si="21"/>
        <v>15928.5</v>
      </c>
      <c r="R42" s="22">
        <f t="shared" si="22"/>
        <v>15920</v>
      </c>
      <c r="S42" s="22">
        <f t="shared" si="23"/>
        <v>15920</v>
      </c>
    </row>
    <row r="43" s="2" customFormat="1" customHeight="1" spans="2:19">
      <c r="B43" s="25">
        <v>46125</v>
      </c>
      <c r="C43" s="22" t="s">
        <v>42</v>
      </c>
      <c r="D43" s="22" t="s">
        <v>41</v>
      </c>
      <c r="E43" s="22" t="s">
        <v>68</v>
      </c>
      <c r="F43" s="22" t="s">
        <v>27</v>
      </c>
      <c r="G43" s="22"/>
      <c r="H43" s="22"/>
      <c r="I43" s="22">
        <v>11.11</v>
      </c>
      <c r="J43" s="22">
        <v>5.04</v>
      </c>
      <c r="K43" s="22">
        <f t="shared" si="18"/>
        <v>6.07</v>
      </c>
      <c r="L43" s="22">
        <v>0</v>
      </c>
      <c r="M43" s="22">
        <f t="shared" si="19"/>
        <v>6.07</v>
      </c>
      <c r="N43" s="22">
        <v>1900</v>
      </c>
      <c r="O43" s="22"/>
      <c r="P43" s="22">
        <f t="shared" si="20"/>
        <v>11533</v>
      </c>
      <c r="Q43" s="22">
        <f t="shared" si="21"/>
        <v>11533</v>
      </c>
      <c r="R43" s="22">
        <f t="shared" si="22"/>
        <v>11530</v>
      </c>
      <c r="S43" s="22">
        <f t="shared" si="23"/>
        <v>11530</v>
      </c>
    </row>
    <row r="44" s="2" customFormat="1" customHeight="1" spans="2:19">
      <c r="B44" s="25">
        <v>46126</v>
      </c>
      <c r="C44" s="22" t="s">
        <v>42</v>
      </c>
      <c r="D44" s="22" t="s">
        <v>41</v>
      </c>
      <c r="E44" s="22" t="s">
        <v>37</v>
      </c>
      <c r="F44" s="22" t="s">
        <v>27</v>
      </c>
      <c r="G44" s="22"/>
      <c r="H44" s="22"/>
      <c r="I44" s="22">
        <v>11.42</v>
      </c>
      <c r="J44" s="22">
        <v>5.03</v>
      </c>
      <c r="K44" s="22">
        <f t="shared" si="18"/>
        <v>6.39</v>
      </c>
      <c r="L44" s="22">
        <v>0.03</v>
      </c>
      <c r="M44" s="22">
        <f t="shared" si="19"/>
        <v>6.36</v>
      </c>
      <c r="N44" s="22">
        <v>1850</v>
      </c>
      <c r="O44" s="22"/>
      <c r="P44" s="22">
        <f t="shared" si="20"/>
        <v>11821.5</v>
      </c>
      <c r="Q44" s="22">
        <f t="shared" si="21"/>
        <v>11766</v>
      </c>
      <c r="R44" s="22">
        <f t="shared" si="22"/>
        <v>11760</v>
      </c>
      <c r="S44" s="22">
        <f t="shared" si="23"/>
        <v>11760</v>
      </c>
    </row>
    <row r="45" s="2" customFormat="1" customHeight="1" spans="2:19">
      <c r="B45" s="25">
        <v>46126</v>
      </c>
      <c r="C45" s="22" t="s">
        <v>149</v>
      </c>
      <c r="D45" s="22" t="s">
        <v>150</v>
      </c>
      <c r="E45" s="22" t="s">
        <v>37</v>
      </c>
      <c r="F45" s="22" t="s">
        <v>75</v>
      </c>
      <c r="G45" s="22"/>
      <c r="H45" s="22"/>
      <c r="I45" s="22">
        <v>8.54</v>
      </c>
      <c r="J45" s="22">
        <v>4.05</v>
      </c>
      <c r="K45" s="22">
        <f t="shared" si="18"/>
        <v>4.49</v>
      </c>
      <c r="L45" s="22">
        <v>0.03</v>
      </c>
      <c r="M45" s="22">
        <f t="shared" si="19"/>
        <v>4.46</v>
      </c>
      <c r="N45" s="22">
        <v>1840</v>
      </c>
      <c r="O45" s="22"/>
      <c r="P45" s="22">
        <f t="shared" si="20"/>
        <v>8261.6</v>
      </c>
      <c r="Q45" s="22">
        <f t="shared" si="21"/>
        <v>8206.4</v>
      </c>
      <c r="R45" s="22">
        <f t="shared" si="22"/>
        <v>8200</v>
      </c>
      <c r="S45" s="22">
        <f t="shared" si="23"/>
        <v>8200</v>
      </c>
    </row>
    <row r="46" s="2" customFormat="1" customHeight="1" spans="2:19">
      <c r="B46" s="25">
        <v>46126</v>
      </c>
      <c r="C46" s="22" t="s">
        <v>99</v>
      </c>
      <c r="D46" s="22" t="s">
        <v>100</v>
      </c>
      <c r="E46" s="22" t="s">
        <v>34</v>
      </c>
      <c r="F46" s="22" t="s">
        <v>75</v>
      </c>
      <c r="G46" s="22"/>
      <c r="H46" s="22"/>
      <c r="I46" s="22">
        <v>5.85</v>
      </c>
      <c r="J46" s="22">
        <v>5.62</v>
      </c>
      <c r="K46" s="22">
        <f t="shared" si="18"/>
        <v>0.23</v>
      </c>
      <c r="L46" s="22">
        <v>0</v>
      </c>
      <c r="M46" s="22">
        <f t="shared" si="19"/>
        <v>0.23</v>
      </c>
      <c r="N46" s="22">
        <v>1900</v>
      </c>
      <c r="O46" s="22"/>
      <c r="P46" s="22">
        <f t="shared" si="20"/>
        <v>436.999999999999</v>
      </c>
      <c r="Q46" s="22">
        <f t="shared" si="21"/>
        <v>436.999999999999</v>
      </c>
      <c r="R46" s="22">
        <f t="shared" si="22"/>
        <v>430</v>
      </c>
      <c r="S46" s="22">
        <f t="shared" si="23"/>
        <v>430</v>
      </c>
    </row>
    <row r="47" s="2" customFormat="1" customHeight="1" spans="2:19">
      <c r="B47" s="25">
        <v>46126</v>
      </c>
      <c r="C47" s="22" t="s">
        <v>94</v>
      </c>
      <c r="D47" s="22" t="s">
        <v>95</v>
      </c>
      <c r="E47" s="22" t="s">
        <v>43</v>
      </c>
      <c r="F47" s="22" t="s">
        <v>75</v>
      </c>
      <c r="G47" s="22"/>
      <c r="H47" s="22"/>
      <c r="I47" s="22">
        <v>22.42</v>
      </c>
      <c r="J47" s="22">
        <v>9.81</v>
      </c>
      <c r="K47" s="22">
        <f t="shared" si="18"/>
        <v>12.61</v>
      </c>
      <c r="L47" s="22">
        <v>0.15</v>
      </c>
      <c r="M47" s="22">
        <f t="shared" si="19"/>
        <v>12.46</v>
      </c>
      <c r="N47" s="22">
        <v>1450</v>
      </c>
      <c r="O47" s="22"/>
      <c r="P47" s="22">
        <f t="shared" si="20"/>
        <v>18284.5</v>
      </c>
      <c r="Q47" s="22">
        <f t="shared" si="21"/>
        <v>18067</v>
      </c>
      <c r="R47" s="22">
        <f t="shared" si="22"/>
        <v>18060</v>
      </c>
      <c r="S47" s="22">
        <f t="shared" si="23"/>
        <v>18060</v>
      </c>
    </row>
    <row r="48" s="2" customFormat="1" customHeight="1" spans="2:19">
      <c r="B48" s="25">
        <v>46126</v>
      </c>
      <c r="C48" s="22" t="s">
        <v>106</v>
      </c>
      <c r="D48" s="27" t="s">
        <v>93</v>
      </c>
      <c r="E48" s="22" t="s">
        <v>147</v>
      </c>
      <c r="F48" s="22" t="s">
        <v>75</v>
      </c>
      <c r="G48" s="22"/>
      <c r="H48" s="22"/>
      <c r="I48" s="22">
        <v>5.42</v>
      </c>
      <c r="J48" s="22">
        <v>1.85</v>
      </c>
      <c r="K48" s="22">
        <f t="shared" si="18"/>
        <v>3.57</v>
      </c>
      <c r="L48" s="22">
        <v>0.02</v>
      </c>
      <c r="M48" s="22">
        <f t="shared" si="19"/>
        <v>3.55</v>
      </c>
      <c r="N48" s="22">
        <v>2050</v>
      </c>
      <c r="O48" s="22"/>
      <c r="P48" s="22">
        <f t="shared" si="20"/>
        <v>7318.5</v>
      </c>
      <c r="Q48" s="22">
        <f t="shared" si="21"/>
        <v>7277.5</v>
      </c>
      <c r="R48" s="22">
        <f t="shared" si="22"/>
        <v>7270</v>
      </c>
      <c r="S48" s="22">
        <f t="shared" si="23"/>
        <v>7270</v>
      </c>
    </row>
    <row r="49" s="2" customFormat="1" customHeight="1" spans="2:22">
      <c r="B49" s="25">
        <v>46126</v>
      </c>
      <c r="C49" s="22" t="s">
        <v>111</v>
      </c>
      <c r="D49" s="22" t="s">
        <v>112</v>
      </c>
      <c r="E49" s="22" t="s">
        <v>37</v>
      </c>
      <c r="F49" s="22" t="s">
        <v>75</v>
      </c>
      <c r="G49" s="22"/>
      <c r="H49" s="22"/>
      <c r="I49" s="22">
        <v>11.82</v>
      </c>
      <c r="J49" s="22">
        <v>4.29</v>
      </c>
      <c r="K49" s="22">
        <f t="shared" si="18"/>
        <v>7.53</v>
      </c>
      <c r="L49" s="22">
        <v>0.06</v>
      </c>
      <c r="M49" s="22">
        <f t="shared" si="19"/>
        <v>7.47</v>
      </c>
      <c r="N49" s="22">
        <v>1900</v>
      </c>
      <c r="O49" s="22"/>
      <c r="P49" s="22">
        <f t="shared" si="20"/>
        <v>14307</v>
      </c>
      <c r="Q49" s="22">
        <f t="shared" si="21"/>
        <v>14193</v>
      </c>
      <c r="R49" s="22">
        <f t="shared" si="22"/>
        <v>14190</v>
      </c>
      <c r="S49" s="22">
        <f t="shared" si="23"/>
        <v>14190</v>
      </c>
    </row>
    <row r="50" s="2" customFormat="1" customHeight="1" spans="2:22">
      <c r="B50" s="25">
        <v>46126</v>
      </c>
      <c r="C50" s="22" t="s">
        <v>151</v>
      </c>
      <c r="D50" s="22" t="s">
        <v>142</v>
      </c>
      <c r="E50" s="22" t="s">
        <v>143</v>
      </c>
      <c r="F50" s="22" t="s">
        <v>75</v>
      </c>
      <c r="G50" s="22"/>
      <c r="H50" s="22"/>
      <c r="I50" s="22">
        <v>25.18</v>
      </c>
      <c r="J50" s="22">
        <v>13.24</v>
      </c>
      <c r="K50" s="22">
        <f t="shared" si="18"/>
        <v>11.94</v>
      </c>
      <c r="L50" s="22">
        <v>0.03</v>
      </c>
      <c r="M50" s="22">
        <f t="shared" si="19"/>
        <v>11.91</v>
      </c>
      <c r="N50" s="22">
        <v>1900</v>
      </c>
      <c r="O50" s="22"/>
      <c r="P50" s="22">
        <f t="shared" si="20"/>
        <v>22686</v>
      </c>
      <c r="Q50" s="22">
        <f t="shared" si="21"/>
        <v>22629</v>
      </c>
      <c r="R50" s="22">
        <f t="shared" si="22"/>
        <v>22620</v>
      </c>
      <c r="S50" s="22">
        <f t="shared" si="23"/>
        <v>22620</v>
      </c>
      <c r="T50" s="22" t="s">
        <v>152</v>
      </c>
      <c r="U50" s="25">
        <v>46130</v>
      </c>
    </row>
    <row r="51" s="22" customFormat="1" customHeight="1" spans="2:22">
      <c r="B51" s="25">
        <v>46127</v>
      </c>
      <c r="C51" s="22" t="s">
        <v>120</v>
      </c>
      <c r="D51" s="22" t="s">
        <v>153</v>
      </c>
      <c r="E51" s="22" t="s">
        <v>55</v>
      </c>
      <c r="F51" s="22" t="s">
        <v>38</v>
      </c>
      <c r="G51" s="22">
        <v>35.23</v>
      </c>
      <c r="H51" s="22">
        <f>K51-G51</f>
        <v>-0.109999999999992</v>
      </c>
      <c r="I51" s="22">
        <v>51.95</v>
      </c>
      <c r="J51" s="22">
        <v>16.83</v>
      </c>
      <c r="K51" s="22">
        <f t="shared" si="18"/>
        <v>35.12</v>
      </c>
      <c r="L51" s="22">
        <v>0.3</v>
      </c>
      <c r="M51" s="22">
        <f t="shared" si="19"/>
        <v>34.82</v>
      </c>
      <c r="N51" s="22">
        <v>1790</v>
      </c>
      <c r="O51" s="22">
        <v>1400</v>
      </c>
      <c r="P51" s="22">
        <f t="shared" si="20"/>
        <v>62864.8</v>
      </c>
      <c r="Q51" s="22">
        <f t="shared" si="21"/>
        <v>62327.8</v>
      </c>
      <c r="R51" s="22">
        <f>ROUNDDOWN(G51*N51,-1)</f>
        <v>63060</v>
      </c>
      <c r="S51" s="22">
        <f>ROUNDDOWN(G51*N51+O51,-1)</f>
        <v>64460</v>
      </c>
      <c r="T51" s="22" t="s">
        <v>76</v>
      </c>
      <c r="U51" s="25">
        <v>46126</v>
      </c>
      <c r="V51" s="22" t="s">
        <v>123</v>
      </c>
    </row>
    <row r="52" s="22" customFormat="1" customHeight="1" spans="2:22">
      <c r="B52" s="25">
        <v>46127</v>
      </c>
      <c r="C52" s="22" t="s">
        <v>120</v>
      </c>
      <c r="D52" s="22" t="s">
        <v>154</v>
      </c>
      <c r="E52" s="22" t="s">
        <v>55</v>
      </c>
      <c r="F52" s="22" t="s">
        <v>38</v>
      </c>
      <c r="G52" s="22">
        <v>31</v>
      </c>
      <c r="H52" s="22">
        <f>K52-G52</f>
        <v>-0.0399999999999991</v>
      </c>
      <c r="I52" s="22">
        <v>47.82</v>
      </c>
      <c r="J52" s="22">
        <v>16.86</v>
      </c>
      <c r="K52" s="22">
        <f t="shared" si="18"/>
        <v>30.96</v>
      </c>
      <c r="L52" s="22">
        <v>0</v>
      </c>
      <c r="M52" s="22">
        <f t="shared" si="19"/>
        <v>30.96</v>
      </c>
      <c r="N52" s="22">
        <v>1800</v>
      </c>
      <c r="O52" s="22">
        <v>800</v>
      </c>
      <c r="P52" s="22">
        <f t="shared" si="20"/>
        <v>55728</v>
      </c>
      <c r="Q52" s="22">
        <f t="shared" si="21"/>
        <v>55728</v>
      </c>
      <c r="R52" s="22">
        <f>ROUNDDOWN(G52*N52,-1)</f>
        <v>55800</v>
      </c>
      <c r="S52" s="22">
        <f>ROUNDDOWN(G52*N52+O52,-1)</f>
        <v>56600</v>
      </c>
    </row>
    <row r="53" s="22" customFormat="1" customHeight="1" spans="2:22">
      <c r="B53" s="25">
        <v>46127</v>
      </c>
      <c r="C53" s="22" t="s">
        <v>86</v>
      </c>
      <c r="D53" s="22" t="s">
        <v>155</v>
      </c>
      <c r="E53" s="22" t="s">
        <v>43</v>
      </c>
      <c r="F53" s="22" t="s">
        <v>75</v>
      </c>
      <c r="I53" s="22">
        <v>6.03</v>
      </c>
      <c r="J53" s="26">
        <v>3.4</v>
      </c>
      <c r="K53" s="22">
        <f t="shared" si="18"/>
        <v>2.63</v>
      </c>
      <c r="L53" s="22">
        <v>0.05</v>
      </c>
      <c r="M53" s="22">
        <f t="shared" si="19"/>
        <v>2.58</v>
      </c>
      <c r="N53" s="22">
        <v>1500</v>
      </c>
      <c r="P53" s="22">
        <f t="shared" si="20"/>
        <v>3945</v>
      </c>
      <c r="Q53" s="22">
        <f t="shared" si="21"/>
        <v>3870</v>
      </c>
      <c r="R53" s="22">
        <f>ROUNDDOWN(M53*N53,-1)</f>
        <v>3870</v>
      </c>
      <c r="S53" s="22">
        <f>ROUNDDOWN(M53*N53+O53,-1)</f>
        <v>3870</v>
      </c>
    </row>
    <row r="54" s="22" customFormat="1" customHeight="1" spans="2:22">
      <c r="B54" s="25">
        <v>46127</v>
      </c>
      <c r="C54" s="22" t="s">
        <v>86</v>
      </c>
      <c r="D54" s="22" t="s">
        <v>155</v>
      </c>
      <c r="E54" s="22" t="s">
        <v>156</v>
      </c>
      <c r="F54" s="22" t="s">
        <v>75</v>
      </c>
      <c r="I54" s="22">
        <v>7.08</v>
      </c>
      <c r="J54" s="22">
        <v>3.29</v>
      </c>
      <c r="K54" s="22">
        <f t="shared" si="18"/>
        <v>3.79</v>
      </c>
      <c r="L54" s="22">
        <v>0.02</v>
      </c>
      <c r="M54" s="22">
        <f t="shared" si="19"/>
        <v>3.77</v>
      </c>
      <c r="N54" s="22">
        <v>1880</v>
      </c>
      <c r="P54" s="22">
        <f t="shared" si="20"/>
        <v>7125.2</v>
      </c>
      <c r="Q54" s="22">
        <f t="shared" si="21"/>
        <v>7087.6</v>
      </c>
      <c r="R54" s="22">
        <f>ROUNDDOWN(M54*N54,-1)</f>
        <v>7080</v>
      </c>
      <c r="S54" s="22">
        <f>ROUNDDOWN(M54*N54+O54,-1)</f>
        <v>7080</v>
      </c>
    </row>
    <row r="55" s="22" customFormat="1" customHeight="1" spans="2:22">
      <c r="B55" s="25">
        <v>46127</v>
      </c>
      <c r="C55" s="22" t="s">
        <v>106</v>
      </c>
      <c r="D55" s="27" t="s">
        <v>93</v>
      </c>
      <c r="E55" s="22" t="s">
        <v>37</v>
      </c>
      <c r="F55" s="22" t="s">
        <v>75</v>
      </c>
      <c r="I55" s="22">
        <v>1.54</v>
      </c>
      <c r="J55" s="22">
        <v>1.13</v>
      </c>
      <c r="K55" s="22">
        <f t="shared" si="18"/>
        <v>0.41</v>
      </c>
      <c r="L55" s="22">
        <v>0</v>
      </c>
      <c r="M55" s="22">
        <f t="shared" si="19"/>
        <v>0.41</v>
      </c>
      <c r="N55" s="22">
        <v>1800</v>
      </c>
      <c r="P55" s="22">
        <f t="shared" si="20"/>
        <v>738</v>
      </c>
      <c r="Q55" s="22">
        <f t="shared" si="21"/>
        <v>738</v>
      </c>
      <c r="R55" s="22">
        <f>ROUNDDOWN(M55*N55,-1)</f>
        <v>730</v>
      </c>
      <c r="S55" s="22">
        <f>ROUNDDOWN(M55*N55+O55,-1)</f>
        <v>730</v>
      </c>
    </row>
    <row r="56" s="22" customFormat="1" customHeight="1" spans="2:22">
      <c r="B56" s="25">
        <v>46129</v>
      </c>
      <c r="C56" s="22" t="s">
        <v>77</v>
      </c>
      <c r="D56" s="22" t="s">
        <v>78</v>
      </c>
      <c r="E56" s="22" t="s">
        <v>34</v>
      </c>
      <c r="F56" s="22" t="s">
        <v>75</v>
      </c>
      <c r="I56" s="22">
        <v>5.66</v>
      </c>
      <c r="J56" s="22">
        <v>4.28</v>
      </c>
      <c r="K56" s="22">
        <f t="shared" ref="K56:K61" si="24">I56-J56</f>
        <v>1.38</v>
      </c>
      <c r="L56" s="22">
        <v>0</v>
      </c>
      <c r="M56" s="22">
        <f t="shared" ref="M56:M61" si="25">K56-L56</f>
        <v>1.38</v>
      </c>
      <c r="N56" s="22">
        <v>2060</v>
      </c>
      <c r="P56" s="22">
        <f t="shared" ref="P56:P61" si="26">K56*N56</f>
        <v>2842.8</v>
      </c>
      <c r="Q56" s="22">
        <f t="shared" ref="Q56:Q61" si="27">M56*N56</f>
        <v>2842.8</v>
      </c>
      <c r="R56" s="22">
        <f t="shared" ref="R56:R61" si="28">ROUNDDOWN(M56*N56,-1)</f>
        <v>2840</v>
      </c>
      <c r="S56" s="22">
        <f t="shared" ref="S56:S61" si="29">ROUNDDOWN(M56*N56+O56,-1)</f>
        <v>2840</v>
      </c>
    </row>
    <row r="57" s="22" customFormat="1" customHeight="1" spans="2:22">
      <c r="B57" s="25">
        <v>46129</v>
      </c>
      <c r="C57" s="22" t="s">
        <v>77</v>
      </c>
      <c r="D57" s="22" t="s">
        <v>78</v>
      </c>
      <c r="E57" s="22" t="s">
        <v>157</v>
      </c>
      <c r="F57" s="22" t="s">
        <v>75</v>
      </c>
      <c r="I57" s="22">
        <v>7.6</v>
      </c>
      <c r="J57" s="22">
        <v>5.66</v>
      </c>
      <c r="K57" s="22">
        <f t="shared" si="24"/>
        <v>1.94</v>
      </c>
      <c r="L57" s="22">
        <v>0</v>
      </c>
      <c r="M57" s="22">
        <f t="shared" si="25"/>
        <v>1.94</v>
      </c>
      <c r="N57" s="22">
        <v>1850</v>
      </c>
      <c r="P57" s="22">
        <f t="shared" si="26"/>
        <v>3589</v>
      </c>
      <c r="Q57" s="22">
        <f t="shared" si="27"/>
        <v>3589</v>
      </c>
      <c r="R57" s="22">
        <f t="shared" si="28"/>
        <v>3580</v>
      </c>
      <c r="S57" s="22">
        <f t="shared" si="29"/>
        <v>3580</v>
      </c>
    </row>
    <row r="58" s="22" customFormat="1" customHeight="1" spans="2:22">
      <c r="B58" s="25">
        <v>46129</v>
      </c>
      <c r="C58" s="22" t="s">
        <v>86</v>
      </c>
      <c r="D58" s="22" t="s">
        <v>155</v>
      </c>
      <c r="E58" s="22" t="s">
        <v>34</v>
      </c>
      <c r="F58" s="22" t="s">
        <v>75</v>
      </c>
      <c r="I58" s="22">
        <v>11.55</v>
      </c>
      <c r="J58" s="22">
        <v>3.42</v>
      </c>
      <c r="K58" s="22">
        <f t="shared" si="24"/>
        <v>8.13</v>
      </c>
      <c r="L58" s="22">
        <v>0.03</v>
      </c>
      <c r="M58" s="22">
        <f t="shared" si="25"/>
        <v>8.1</v>
      </c>
      <c r="N58" s="22">
        <v>2000</v>
      </c>
      <c r="P58" s="22">
        <f t="shared" si="26"/>
        <v>16260</v>
      </c>
      <c r="Q58" s="22">
        <f t="shared" si="27"/>
        <v>16200</v>
      </c>
      <c r="R58" s="22">
        <f t="shared" si="28"/>
        <v>16200</v>
      </c>
      <c r="S58" s="22">
        <f t="shared" si="29"/>
        <v>16200</v>
      </c>
    </row>
    <row r="59" s="22" customFormat="1" customHeight="1" spans="2:22">
      <c r="B59" s="25">
        <v>46129</v>
      </c>
      <c r="C59" s="22" t="s">
        <v>86</v>
      </c>
      <c r="D59" s="22" t="s">
        <v>155</v>
      </c>
      <c r="E59" s="22" t="s">
        <v>34</v>
      </c>
      <c r="F59" s="22" t="s">
        <v>75</v>
      </c>
      <c r="I59" s="22">
        <v>4.3</v>
      </c>
      <c r="J59" s="26">
        <v>3.3</v>
      </c>
      <c r="K59" s="22">
        <f t="shared" si="24"/>
        <v>1</v>
      </c>
      <c r="L59" s="22">
        <v>0</v>
      </c>
      <c r="M59" s="22">
        <f t="shared" si="25"/>
        <v>1</v>
      </c>
      <c r="N59" s="22">
        <v>1800</v>
      </c>
      <c r="P59" s="22">
        <f t="shared" si="26"/>
        <v>1800</v>
      </c>
      <c r="Q59" s="22">
        <f t="shared" si="27"/>
        <v>1800</v>
      </c>
      <c r="R59" s="22">
        <f t="shared" si="28"/>
        <v>1800</v>
      </c>
      <c r="S59" s="22">
        <f t="shared" si="29"/>
        <v>1800</v>
      </c>
    </row>
    <row r="60" s="22" customFormat="1" customHeight="1" spans="2:22">
      <c r="B60" s="25">
        <v>46129</v>
      </c>
      <c r="C60" s="22" t="s">
        <v>86</v>
      </c>
      <c r="D60" s="22" t="s">
        <v>155</v>
      </c>
      <c r="E60" s="22" t="s">
        <v>34</v>
      </c>
      <c r="F60" s="22" t="s">
        <v>75</v>
      </c>
      <c r="I60" s="22">
        <v>6.61</v>
      </c>
      <c r="J60" s="22">
        <v>3.29</v>
      </c>
      <c r="K60" s="22">
        <f t="shared" ref="K60:K71" si="30">I60-J60</f>
        <v>3.32</v>
      </c>
      <c r="L60" s="22">
        <v>0.02</v>
      </c>
      <c r="M60" s="22">
        <f t="shared" ref="M60:M71" si="31">K60-L60</f>
        <v>3.3</v>
      </c>
      <c r="N60" s="22">
        <v>1880</v>
      </c>
      <c r="P60" s="22">
        <f t="shared" ref="P60:P71" si="32">K60*N60</f>
        <v>6241.6</v>
      </c>
      <c r="Q60" s="22">
        <f t="shared" ref="Q60:Q71" si="33">M60*N60</f>
        <v>6204</v>
      </c>
      <c r="R60" s="22">
        <f t="shared" ref="R60:R71" si="34">ROUNDDOWN(M60*N60,-1)</f>
        <v>6200</v>
      </c>
      <c r="S60" s="22">
        <f t="shared" ref="S60:S71" si="35">ROUNDDOWN(M60*N60+O60,-1)</f>
        <v>6200</v>
      </c>
    </row>
    <row r="61" s="22" customFormat="1" customHeight="1" spans="2:22">
      <c r="B61" s="25">
        <v>46129</v>
      </c>
      <c r="C61" s="22" t="s">
        <v>113</v>
      </c>
      <c r="D61" s="22" t="s">
        <v>114</v>
      </c>
      <c r="E61" s="22" t="s">
        <v>43</v>
      </c>
      <c r="F61" s="22" t="s">
        <v>75</v>
      </c>
      <c r="I61" s="22">
        <v>12.08</v>
      </c>
      <c r="J61" s="22">
        <v>5.29</v>
      </c>
      <c r="K61" s="22">
        <f t="shared" si="30"/>
        <v>6.79</v>
      </c>
      <c r="L61" s="22">
        <v>0.13</v>
      </c>
      <c r="M61" s="22">
        <f t="shared" si="31"/>
        <v>6.66</v>
      </c>
      <c r="N61" s="22">
        <v>1500</v>
      </c>
      <c r="P61" s="22">
        <f t="shared" si="32"/>
        <v>10185</v>
      </c>
      <c r="Q61" s="22">
        <f t="shared" si="33"/>
        <v>9990</v>
      </c>
      <c r="R61" s="22">
        <f t="shared" si="34"/>
        <v>9990</v>
      </c>
      <c r="S61" s="22">
        <f t="shared" si="35"/>
        <v>9990</v>
      </c>
    </row>
    <row r="62" s="22" customFormat="1" customHeight="1" spans="2:22">
      <c r="B62" s="25">
        <v>46129</v>
      </c>
      <c r="C62" s="22" t="s">
        <v>113</v>
      </c>
      <c r="D62" s="22" t="s">
        <v>114</v>
      </c>
      <c r="E62" s="22" t="s">
        <v>43</v>
      </c>
      <c r="F62" s="22" t="s">
        <v>75</v>
      </c>
      <c r="I62" s="22">
        <v>11.35</v>
      </c>
      <c r="J62" s="22">
        <v>5.27</v>
      </c>
      <c r="K62" s="22">
        <f t="shared" si="30"/>
        <v>6.08</v>
      </c>
      <c r="L62" s="22">
        <v>0.12</v>
      </c>
      <c r="M62" s="22">
        <f t="shared" si="31"/>
        <v>5.96</v>
      </c>
      <c r="N62" s="22">
        <v>1460</v>
      </c>
      <c r="P62" s="22">
        <f t="shared" si="32"/>
        <v>8876.8</v>
      </c>
      <c r="Q62" s="22">
        <f t="shared" si="33"/>
        <v>8701.6</v>
      </c>
      <c r="R62" s="22">
        <f t="shared" si="34"/>
        <v>8700</v>
      </c>
      <c r="S62" s="22">
        <f t="shared" si="35"/>
        <v>8700</v>
      </c>
    </row>
    <row r="63" s="22" customFormat="1" customHeight="1" spans="2:22">
      <c r="B63" s="25">
        <v>46129</v>
      </c>
      <c r="C63" s="22" t="s">
        <v>106</v>
      </c>
      <c r="D63" s="27" t="s">
        <v>93</v>
      </c>
      <c r="E63" s="22" t="s">
        <v>43</v>
      </c>
      <c r="F63" s="22" t="s">
        <v>75</v>
      </c>
      <c r="I63" s="22">
        <v>1.55</v>
      </c>
      <c r="J63" s="22">
        <v>1.15</v>
      </c>
      <c r="K63" s="22">
        <f t="shared" si="30"/>
        <v>0.4</v>
      </c>
      <c r="L63" s="22">
        <v>0.01</v>
      </c>
      <c r="M63" s="22">
        <f t="shared" si="31"/>
        <v>0.39</v>
      </c>
      <c r="N63" s="22">
        <v>1500</v>
      </c>
      <c r="P63" s="22">
        <f t="shared" si="32"/>
        <v>600</v>
      </c>
      <c r="Q63" s="22">
        <f t="shared" si="33"/>
        <v>585</v>
      </c>
      <c r="R63" s="22">
        <f t="shared" si="34"/>
        <v>580</v>
      </c>
      <c r="S63" s="22">
        <f t="shared" si="35"/>
        <v>580</v>
      </c>
    </row>
    <row r="64" s="22" customFormat="1" customHeight="1" spans="2:22">
      <c r="B64" s="25">
        <v>46129</v>
      </c>
      <c r="C64" s="22" t="s">
        <v>99</v>
      </c>
      <c r="D64" s="22" t="s">
        <v>100</v>
      </c>
      <c r="E64" s="22" t="s">
        <v>43</v>
      </c>
      <c r="F64" s="22" t="s">
        <v>75</v>
      </c>
      <c r="I64" s="22">
        <v>7.84</v>
      </c>
      <c r="J64" s="22">
        <v>5.23</v>
      </c>
      <c r="K64" s="22">
        <f t="shared" si="30"/>
        <v>2.61</v>
      </c>
      <c r="L64" s="22">
        <v>0.05</v>
      </c>
      <c r="M64" s="22">
        <f t="shared" si="31"/>
        <v>2.56</v>
      </c>
      <c r="N64" s="22">
        <v>1550</v>
      </c>
      <c r="P64" s="22">
        <f t="shared" si="32"/>
        <v>4045.5</v>
      </c>
      <c r="Q64" s="22">
        <f t="shared" si="33"/>
        <v>3968</v>
      </c>
      <c r="R64" s="22">
        <f t="shared" si="34"/>
        <v>3960</v>
      </c>
      <c r="S64" s="22">
        <f t="shared" si="35"/>
        <v>3960</v>
      </c>
    </row>
    <row r="65" s="22" customFormat="1" customHeight="1" spans="2:21">
      <c r="B65" s="25">
        <v>46129</v>
      </c>
      <c r="C65" s="22" t="s">
        <v>149</v>
      </c>
      <c r="D65" s="22" t="s">
        <v>150</v>
      </c>
      <c r="E65" s="22" t="s">
        <v>34</v>
      </c>
      <c r="F65" s="22" t="s">
        <v>75</v>
      </c>
      <c r="I65" s="22">
        <v>10.36</v>
      </c>
      <c r="J65" s="22">
        <v>4.07</v>
      </c>
      <c r="K65" s="22">
        <f t="shared" si="30"/>
        <v>6.29</v>
      </c>
      <c r="L65" s="22">
        <v>0.02</v>
      </c>
      <c r="M65" s="22">
        <f t="shared" si="31"/>
        <v>6.27</v>
      </c>
      <c r="N65" s="22">
        <v>2000</v>
      </c>
      <c r="P65" s="22">
        <f t="shared" si="32"/>
        <v>12580</v>
      </c>
      <c r="Q65" s="22">
        <f t="shared" si="33"/>
        <v>12540</v>
      </c>
      <c r="R65" s="22">
        <f t="shared" si="34"/>
        <v>12540</v>
      </c>
      <c r="S65" s="22">
        <f t="shared" si="35"/>
        <v>12540</v>
      </c>
    </row>
    <row r="66" s="22" customFormat="1" customHeight="1" spans="2:21">
      <c r="B66" s="25">
        <v>46129</v>
      </c>
      <c r="C66" s="22" t="s">
        <v>113</v>
      </c>
      <c r="D66" s="22" t="s">
        <v>114</v>
      </c>
      <c r="E66" s="22" t="s">
        <v>128</v>
      </c>
      <c r="F66" s="22" t="s">
        <v>75</v>
      </c>
      <c r="I66" s="22">
        <v>14.58</v>
      </c>
      <c r="J66" s="22">
        <v>5.28</v>
      </c>
      <c r="K66" s="22">
        <f t="shared" si="30"/>
        <v>9.3</v>
      </c>
      <c r="L66" s="22">
        <v>0.1</v>
      </c>
      <c r="M66" s="22">
        <f t="shared" si="31"/>
        <v>9.2</v>
      </c>
      <c r="N66" s="22">
        <v>1500</v>
      </c>
      <c r="P66" s="22">
        <f t="shared" si="32"/>
        <v>13950</v>
      </c>
      <c r="Q66" s="22">
        <f t="shared" si="33"/>
        <v>13800</v>
      </c>
      <c r="R66" s="22">
        <f t="shared" si="34"/>
        <v>13800</v>
      </c>
      <c r="S66" s="22">
        <f t="shared" si="35"/>
        <v>13800</v>
      </c>
    </row>
    <row r="67" s="22" customFormat="1" customHeight="1" spans="2:21">
      <c r="B67" s="25">
        <v>46129</v>
      </c>
      <c r="C67" s="22" t="s">
        <v>77</v>
      </c>
      <c r="D67" s="22" t="s">
        <v>78</v>
      </c>
      <c r="E67" s="22" t="s">
        <v>157</v>
      </c>
      <c r="F67" s="22" t="s">
        <v>75</v>
      </c>
      <c r="I67" s="22">
        <v>7.05</v>
      </c>
      <c r="J67" s="22">
        <v>5.38</v>
      </c>
      <c r="K67" s="22">
        <f t="shared" si="30"/>
        <v>1.67</v>
      </c>
      <c r="L67" s="22">
        <v>0</v>
      </c>
      <c r="M67" s="22">
        <f t="shared" si="31"/>
        <v>1.67</v>
      </c>
      <c r="N67" s="22">
        <v>1850</v>
      </c>
      <c r="P67" s="22">
        <f t="shared" si="32"/>
        <v>3089.5</v>
      </c>
      <c r="Q67" s="22">
        <f t="shared" si="33"/>
        <v>3089.5</v>
      </c>
      <c r="R67" s="22">
        <f t="shared" si="34"/>
        <v>3080</v>
      </c>
      <c r="S67" s="22">
        <f t="shared" si="35"/>
        <v>3080</v>
      </c>
    </row>
    <row r="68" s="22" customFormat="1" customHeight="1" spans="2:21">
      <c r="B68" s="25">
        <v>46129</v>
      </c>
      <c r="C68" s="22" t="s">
        <v>77</v>
      </c>
      <c r="D68" s="22" t="s">
        <v>78</v>
      </c>
      <c r="E68" s="22" t="s">
        <v>34</v>
      </c>
      <c r="F68" s="22" t="s">
        <v>75</v>
      </c>
      <c r="I68" s="22">
        <v>5.37</v>
      </c>
      <c r="J68" s="22">
        <v>3.96</v>
      </c>
      <c r="K68" s="22">
        <f t="shared" si="30"/>
        <v>1.41</v>
      </c>
      <c r="L68" s="22">
        <v>0</v>
      </c>
      <c r="M68" s="22">
        <f t="shared" si="31"/>
        <v>1.41</v>
      </c>
      <c r="N68" s="22">
        <v>2030</v>
      </c>
      <c r="P68" s="22">
        <f t="shared" si="32"/>
        <v>2862.3</v>
      </c>
      <c r="Q68" s="22">
        <f t="shared" si="33"/>
        <v>2862.3</v>
      </c>
      <c r="R68" s="22">
        <f t="shared" si="34"/>
        <v>2860</v>
      </c>
      <c r="S68" s="22">
        <f t="shared" si="35"/>
        <v>2860</v>
      </c>
    </row>
    <row r="69" s="22" customFormat="1" customHeight="1" spans="2:21">
      <c r="B69" s="25">
        <v>46130</v>
      </c>
      <c r="C69" s="22" t="s">
        <v>120</v>
      </c>
      <c r="D69" s="22" t="s">
        <v>87</v>
      </c>
      <c r="E69" s="22" t="s">
        <v>105</v>
      </c>
      <c r="F69" s="22" t="s">
        <v>75</v>
      </c>
      <c r="I69" s="22">
        <v>30.72</v>
      </c>
      <c r="J69" s="22">
        <v>15.94</v>
      </c>
      <c r="K69" s="22">
        <f t="shared" si="30"/>
        <v>14.78</v>
      </c>
      <c r="L69" s="22">
        <v>0.15</v>
      </c>
      <c r="M69" s="22">
        <f t="shared" si="31"/>
        <v>14.63</v>
      </c>
      <c r="N69" s="22">
        <v>1800</v>
      </c>
      <c r="O69" s="22">
        <v>1000</v>
      </c>
      <c r="P69" s="22">
        <f t="shared" si="32"/>
        <v>26604</v>
      </c>
      <c r="Q69" s="22">
        <f t="shared" si="33"/>
        <v>26334</v>
      </c>
      <c r="R69" s="22">
        <f>ROUNDDOWN(M69*N69-1000,-1)</f>
        <v>25330</v>
      </c>
      <c r="S69" s="22">
        <f>ROUNDDOWN(M69*N69+O69-1000,-1)</f>
        <v>26330</v>
      </c>
    </row>
    <row r="70" s="22" customFormat="1" customHeight="1" spans="2:21">
      <c r="B70" s="25">
        <v>46130</v>
      </c>
      <c r="C70" s="22" t="s">
        <v>149</v>
      </c>
      <c r="D70" s="22" t="s">
        <v>150</v>
      </c>
      <c r="E70" s="22" t="s">
        <v>37</v>
      </c>
      <c r="F70" s="22" t="s">
        <v>75</v>
      </c>
      <c r="I70" s="22">
        <v>8.68</v>
      </c>
      <c r="J70" s="22">
        <v>4.07</v>
      </c>
      <c r="K70" s="22">
        <f t="shared" si="30"/>
        <v>4.61</v>
      </c>
      <c r="L70" s="22">
        <v>0.08</v>
      </c>
      <c r="M70" s="22">
        <f t="shared" si="31"/>
        <v>4.53</v>
      </c>
      <c r="N70" s="22">
        <v>1800</v>
      </c>
      <c r="P70" s="22">
        <f t="shared" si="32"/>
        <v>8298</v>
      </c>
      <c r="Q70" s="22">
        <f t="shared" si="33"/>
        <v>8154</v>
      </c>
      <c r="R70" s="22">
        <f t="shared" si="34"/>
        <v>8150</v>
      </c>
      <c r="S70" s="22">
        <f t="shared" si="35"/>
        <v>8150</v>
      </c>
    </row>
    <row r="71" s="2" customFormat="1" customHeight="1" spans="2:21">
      <c r="B71" s="25">
        <v>46132</v>
      </c>
      <c r="C71" s="22" t="s">
        <v>158</v>
      </c>
      <c r="D71" s="22" t="s">
        <v>159</v>
      </c>
      <c r="E71" s="22" t="s">
        <v>37</v>
      </c>
      <c r="F71" s="22" t="s">
        <v>27</v>
      </c>
      <c r="G71" s="22"/>
      <c r="H71" s="22"/>
      <c r="I71" s="22">
        <v>1.53</v>
      </c>
      <c r="J71" s="22">
        <v>1.23</v>
      </c>
      <c r="K71" s="22">
        <f t="shared" si="30"/>
        <v>0.3</v>
      </c>
      <c r="L71" s="22">
        <v>0.015</v>
      </c>
      <c r="M71" s="22">
        <f t="shared" si="31"/>
        <v>0.285</v>
      </c>
      <c r="N71" s="22">
        <v>1800</v>
      </c>
      <c r="O71" s="22"/>
      <c r="P71" s="22">
        <f t="shared" si="32"/>
        <v>540</v>
      </c>
      <c r="Q71" s="22">
        <f t="shared" si="33"/>
        <v>513</v>
      </c>
      <c r="R71" s="22">
        <f t="shared" si="34"/>
        <v>510</v>
      </c>
      <c r="S71" s="22">
        <f t="shared" si="35"/>
        <v>510</v>
      </c>
    </row>
    <row r="72" s="22" customFormat="1" customHeight="1" spans="2:21">
      <c r="B72" s="25">
        <v>46132</v>
      </c>
      <c r="C72" s="22" t="s">
        <v>32</v>
      </c>
      <c r="D72" s="22" t="s">
        <v>160</v>
      </c>
      <c r="E72" s="22" t="s">
        <v>34</v>
      </c>
      <c r="F72" s="22" t="s">
        <v>27</v>
      </c>
      <c r="I72" s="22">
        <v>0.52</v>
      </c>
      <c r="J72" s="22">
        <v>0.34</v>
      </c>
      <c r="K72" s="22">
        <f t="shared" ref="K72:K81" si="36">I72-J72</f>
        <v>0.18</v>
      </c>
      <c r="L72" s="22">
        <v>0</v>
      </c>
      <c r="M72" s="22">
        <f t="shared" ref="M72:M81" si="37">K72-L72</f>
        <v>0.18</v>
      </c>
      <c r="N72" s="22">
        <v>1950</v>
      </c>
      <c r="P72" s="22">
        <f t="shared" ref="P72:P81" si="38">K72*N72</f>
        <v>351</v>
      </c>
      <c r="Q72" s="22">
        <f t="shared" ref="Q72:Q81" si="39">M72*N72</f>
        <v>351</v>
      </c>
      <c r="R72" s="22">
        <f t="shared" ref="R72:R81" si="40">ROUNDDOWN(M72*N72,-1)</f>
        <v>350</v>
      </c>
      <c r="S72" s="22">
        <f t="shared" ref="S72:S81" si="41">ROUNDDOWN(M72*N72+O72,-1)</f>
        <v>350</v>
      </c>
    </row>
    <row r="73" s="22" customFormat="1" customHeight="1" spans="2:21">
      <c r="B73" s="25">
        <v>46132</v>
      </c>
      <c r="C73" s="22" t="s">
        <v>161</v>
      </c>
      <c r="D73" s="27" t="s">
        <v>93</v>
      </c>
      <c r="E73" s="22" t="s">
        <v>34</v>
      </c>
      <c r="F73" s="22" t="s">
        <v>75</v>
      </c>
      <c r="I73" s="22">
        <v>4.48</v>
      </c>
      <c r="J73" s="22">
        <v>1.84</v>
      </c>
      <c r="K73" s="22">
        <f t="shared" si="36"/>
        <v>2.64</v>
      </c>
      <c r="L73" s="22">
        <v>0.06</v>
      </c>
      <c r="M73" s="22">
        <f t="shared" si="37"/>
        <v>2.58</v>
      </c>
      <c r="N73" s="22">
        <v>1980</v>
      </c>
      <c r="P73" s="22">
        <f t="shared" si="38"/>
        <v>5227.2</v>
      </c>
      <c r="Q73" s="22">
        <f t="shared" si="39"/>
        <v>5108.4</v>
      </c>
      <c r="R73" s="22">
        <f t="shared" si="40"/>
        <v>5100</v>
      </c>
      <c r="S73" s="22">
        <f t="shared" si="41"/>
        <v>5100</v>
      </c>
    </row>
    <row r="74" s="22" customFormat="1" customHeight="1" spans="2:21">
      <c r="B74" s="25">
        <v>46132</v>
      </c>
      <c r="C74" s="22" t="s">
        <v>135</v>
      </c>
      <c r="D74" s="22" t="s">
        <v>136</v>
      </c>
      <c r="E74" s="22" t="s">
        <v>162</v>
      </c>
      <c r="F74" s="22" t="s">
        <v>75</v>
      </c>
      <c r="I74" s="22">
        <v>12.34</v>
      </c>
      <c r="J74" s="22">
        <v>5.03</v>
      </c>
      <c r="K74" s="22">
        <f t="shared" si="36"/>
        <v>7.31</v>
      </c>
      <c r="L74" s="22">
        <v>0.15</v>
      </c>
      <c r="M74" s="22">
        <f t="shared" si="37"/>
        <v>7.16</v>
      </c>
      <c r="N74" s="22">
        <v>1500</v>
      </c>
      <c r="P74" s="22">
        <f t="shared" si="38"/>
        <v>10965</v>
      </c>
      <c r="Q74" s="22">
        <f t="shared" si="39"/>
        <v>10740</v>
      </c>
      <c r="R74" s="22">
        <f t="shared" si="40"/>
        <v>10740</v>
      </c>
      <c r="S74" s="22">
        <f t="shared" si="41"/>
        <v>10740</v>
      </c>
      <c r="T74" s="28" t="s">
        <v>71</v>
      </c>
      <c r="U74" s="29">
        <v>46141</v>
      </c>
    </row>
    <row r="75" s="22" customFormat="1" customHeight="1" spans="2:21">
      <c r="B75" s="25">
        <v>46132</v>
      </c>
      <c r="C75" s="22" t="s">
        <v>163</v>
      </c>
      <c r="D75" s="22" t="s">
        <v>142</v>
      </c>
      <c r="E75" s="22" t="s">
        <v>164</v>
      </c>
      <c r="F75" s="22" t="s">
        <v>75</v>
      </c>
      <c r="I75" s="22">
        <v>28.75</v>
      </c>
      <c r="J75" s="22">
        <v>17.14</v>
      </c>
      <c r="K75" s="22">
        <f t="shared" si="36"/>
        <v>11.61</v>
      </c>
      <c r="L75" s="22">
        <v>0.02</v>
      </c>
      <c r="M75" s="22">
        <f t="shared" si="37"/>
        <v>11.59</v>
      </c>
      <c r="N75" s="22">
        <v>2020</v>
      </c>
      <c r="P75" s="22">
        <f t="shared" si="38"/>
        <v>23452.2</v>
      </c>
      <c r="Q75" s="22">
        <f t="shared" si="39"/>
        <v>23411.8</v>
      </c>
      <c r="R75" s="22">
        <f t="shared" si="40"/>
        <v>23410</v>
      </c>
      <c r="S75" s="22">
        <f t="shared" si="41"/>
        <v>23410</v>
      </c>
      <c r="T75" s="22" t="s">
        <v>47</v>
      </c>
      <c r="U75" s="25">
        <v>46134</v>
      </c>
    </row>
    <row r="76" s="22" customFormat="1" customHeight="1" spans="2:21">
      <c r="B76" s="25">
        <v>46133</v>
      </c>
      <c r="C76" s="22" t="s">
        <v>42</v>
      </c>
      <c r="D76" s="22" t="s">
        <v>41</v>
      </c>
      <c r="E76" s="22" t="s">
        <v>43</v>
      </c>
      <c r="F76" s="22" t="s">
        <v>27</v>
      </c>
      <c r="I76" s="22">
        <v>10.86</v>
      </c>
      <c r="J76" s="22">
        <v>5.03</v>
      </c>
      <c r="K76" s="22">
        <f t="shared" si="36"/>
        <v>5.83</v>
      </c>
      <c r="L76" s="22">
        <v>0.3</v>
      </c>
      <c r="M76" s="22">
        <f t="shared" si="37"/>
        <v>5.53</v>
      </c>
      <c r="N76" s="22">
        <v>1450</v>
      </c>
      <c r="P76" s="22">
        <f t="shared" si="38"/>
        <v>8453.5</v>
      </c>
      <c r="Q76" s="22">
        <f t="shared" si="39"/>
        <v>8018.5</v>
      </c>
      <c r="R76" s="22">
        <f t="shared" si="40"/>
        <v>8010</v>
      </c>
      <c r="S76" s="22">
        <f t="shared" si="41"/>
        <v>8010</v>
      </c>
    </row>
    <row r="77" s="22" customFormat="1" customHeight="1" spans="2:21">
      <c r="B77" s="25">
        <v>46134</v>
      </c>
      <c r="C77" s="22" t="s">
        <v>165</v>
      </c>
      <c r="D77" s="22" t="s">
        <v>142</v>
      </c>
      <c r="E77" s="22" t="s">
        <v>105</v>
      </c>
      <c r="F77" s="22" t="s">
        <v>75</v>
      </c>
      <c r="I77" s="22">
        <v>24.34</v>
      </c>
      <c r="J77" s="22">
        <v>15.59</v>
      </c>
      <c r="K77" s="22">
        <f t="shared" si="36"/>
        <v>8.75</v>
      </c>
      <c r="L77" s="22">
        <v>0.06</v>
      </c>
      <c r="M77" s="22">
        <f t="shared" si="37"/>
        <v>8.69</v>
      </c>
      <c r="N77" s="22">
        <v>1800</v>
      </c>
      <c r="P77" s="22">
        <f t="shared" si="38"/>
        <v>15750</v>
      </c>
      <c r="Q77" s="22">
        <f t="shared" si="39"/>
        <v>15642</v>
      </c>
      <c r="R77" s="22">
        <f t="shared" si="40"/>
        <v>15640</v>
      </c>
      <c r="S77" s="22">
        <f t="shared" si="41"/>
        <v>15640</v>
      </c>
      <c r="T77" s="22" t="s">
        <v>47</v>
      </c>
      <c r="U77" s="25">
        <v>46134</v>
      </c>
    </row>
    <row r="78" s="22" customFormat="1" customHeight="1" spans="2:21">
      <c r="B78" s="25">
        <v>46134</v>
      </c>
      <c r="C78" s="22" t="s">
        <v>135</v>
      </c>
      <c r="D78" s="22" t="s">
        <v>136</v>
      </c>
      <c r="E78" s="22" t="s">
        <v>43</v>
      </c>
      <c r="F78" s="22" t="s">
        <v>75</v>
      </c>
      <c r="I78" s="22">
        <v>12.33</v>
      </c>
      <c r="J78" s="22">
        <v>5.03</v>
      </c>
      <c r="K78" s="22">
        <f t="shared" si="36"/>
        <v>7.3</v>
      </c>
      <c r="L78" s="22">
        <v>0.18</v>
      </c>
      <c r="M78" s="22">
        <f t="shared" si="37"/>
        <v>7.12</v>
      </c>
      <c r="N78" s="22">
        <v>1500</v>
      </c>
      <c r="P78" s="22">
        <f t="shared" si="38"/>
        <v>10950</v>
      </c>
      <c r="Q78" s="22">
        <f t="shared" si="39"/>
        <v>10680</v>
      </c>
      <c r="R78" s="22">
        <f t="shared" si="40"/>
        <v>10680</v>
      </c>
      <c r="S78" s="22">
        <f t="shared" si="41"/>
        <v>10680</v>
      </c>
      <c r="T78" s="28" t="s">
        <v>71</v>
      </c>
      <c r="U78" s="29">
        <v>46141</v>
      </c>
    </row>
    <row r="79" s="22" customFormat="1" customHeight="1" spans="2:21">
      <c r="B79" s="25">
        <v>46134</v>
      </c>
      <c r="C79" s="22" t="s">
        <v>166</v>
      </c>
      <c r="D79" s="22" t="s">
        <v>167</v>
      </c>
      <c r="E79" s="22" t="s">
        <v>34</v>
      </c>
      <c r="F79" s="22" t="s">
        <v>27</v>
      </c>
      <c r="I79" s="22">
        <v>2.01</v>
      </c>
      <c r="J79" s="22">
        <v>1.85</v>
      </c>
      <c r="K79" s="22">
        <f t="shared" si="36"/>
        <v>0.16</v>
      </c>
      <c r="L79" s="22">
        <v>0</v>
      </c>
      <c r="M79" s="22">
        <f t="shared" si="37"/>
        <v>0.16</v>
      </c>
      <c r="N79" s="22">
        <v>1950</v>
      </c>
      <c r="P79" s="22">
        <f t="shared" si="38"/>
        <v>311.999999999999</v>
      </c>
      <c r="Q79" s="22">
        <f t="shared" si="39"/>
        <v>311.999999999999</v>
      </c>
      <c r="R79" s="22">
        <f t="shared" si="40"/>
        <v>310</v>
      </c>
      <c r="S79" s="22">
        <f t="shared" si="41"/>
        <v>310</v>
      </c>
      <c r="T79" s="22" t="s">
        <v>47</v>
      </c>
      <c r="U79" s="25">
        <v>46134</v>
      </c>
    </row>
    <row r="80" s="22" customFormat="1" customHeight="1" spans="2:21">
      <c r="B80" s="25">
        <v>46134</v>
      </c>
      <c r="C80" s="22" t="s">
        <v>165</v>
      </c>
      <c r="D80" s="22" t="s">
        <v>142</v>
      </c>
      <c r="E80" s="22" t="s">
        <v>34</v>
      </c>
      <c r="F80" s="22" t="s">
        <v>75</v>
      </c>
      <c r="I80" s="22">
        <v>25.15</v>
      </c>
      <c r="J80" s="22">
        <v>15.77</v>
      </c>
      <c r="K80" s="22">
        <f t="shared" si="36"/>
        <v>9.38</v>
      </c>
      <c r="L80" s="22">
        <v>0.03</v>
      </c>
      <c r="M80" s="22">
        <f t="shared" si="37"/>
        <v>9.35</v>
      </c>
      <c r="N80" s="22">
        <v>2020</v>
      </c>
      <c r="P80" s="22">
        <f t="shared" si="38"/>
        <v>18947.6</v>
      </c>
      <c r="Q80" s="22">
        <f t="shared" si="39"/>
        <v>18887</v>
      </c>
      <c r="R80" s="22">
        <f t="shared" si="40"/>
        <v>18880</v>
      </c>
      <c r="S80" s="22">
        <f t="shared" si="41"/>
        <v>18880</v>
      </c>
    </row>
    <row r="81" s="22" customFormat="1" customHeight="1" spans="2:22">
      <c r="B81" s="25">
        <v>46135</v>
      </c>
      <c r="C81" s="22" t="s">
        <v>165</v>
      </c>
      <c r="D81" s="22" t="s">
        <v>142</v>
      </c>
      <c r="E81" s="22" t="s">
        <v>34</v>
      </c>
      <c r="F81" s="22" t="s">
        <v>75</v>
      </c>
      <c r="I81" s="22">
        <v>27.27</v>
      </c>
      <c r="J81" s="22">
        <v>16.05</v>
      </c>
      <c r="K81" s="22">
        <f t="shared" si="36"/>
        <v>11.22</v>
      </c>
      <c r="L81" s="22">
        <v>0.05</v>
      </c>
      <c r="M81" s="22">
        <f t="shared" si="37"/>
        <v>11.17</v>
      </c>
      <c r="N81" s="22">
        <v>2020</v>
      </c>
      <c r="P81" s="22">
        <f t="shared" si="38"/>
        <v>22664.4</v>
      </c>
      <c r="Q81" s="22">
        <f t="shared" si="39"/>
        <v>22563.4</v>
      </c>
      <c r="R81" s="22">
        <f t="shared" si="40"/>
        <v>22560</v>
      </c>
      <c r="S81" s="22">
        <f t="shared" si="41"/>
        <v>22560</v>
      </c>
    </row>
    <row r="82" s="22" customFormat="1" customHeight="1" spans="2:22">
      <c r="B82" s="25">
        <v>46135</v>
      </c>
      <c r="C82" s="22" t="s">
        <v>168</v>
      </c>
      <c r="D82" s="22" t="s">
        <v>142</v>
      </c>
      <c r="E82" s="22" t="s">
        <v>34</v>
      </c>
      <c r="F82" s="22" t="s">
        <v>75</v>
      </c>
      <c r="I82" s="22">
        <v>26.05</v>
      </c>
      <c r="J82" s="22">
        <v>16.64</v>
      </c>
      <c r="K82" s="22">
        <f t="shared" ref="K82:K92" si="42">I82-J82</f>
        <v>9.41</v>
      </c>
      <c r="L82" s="22">
        <v>0.05</v>
      </c>
      <c r="M82" s="22">
        <f t="shared" ref="M82:M92" si="43">K82-L82</f>
        <v>9.36</v>
      </c>
      <c r="N82" s="22">
        <v>2020</v>
      </c>
      <c r="O82" s="22"/>
      <c r="P82" s="22">
        <f t="shared" ref="P82:P92" si="44">K82*N82</f>
        <v>19008.2</v>
      </c>
      <c r="Q82" s="22">
        <f t="shared" ref="Q82:Q92" si="45">M82*N82</f>
        <v>18907.2</v>
      </c>
      <c r="R82" s="22">
        <f t="shared" ref="R82:R92" si="46">ROUNDDOWN(M82*N82,-1)</f>
        <v>18900</v>
      </c>
      <c r="S82" s="22">
        <f t="shared" ref="S82:S92" si="47">ROUNDDOWN(M82*N82+O82,-1)</f>
        <v>18900</v>
      </c>
    </row>
    <row r="83" s="22" customFormat="1" customHeight="1" spans="2:22">
      <c r="B83" s="25">
        <v>46136</v>
      </c>
      <c r="C83" s="22" t="s">
        <v>24</v>
      </c>
      <c r="D83" s="22" t="s">
        <v>25</v>
      </c>
      <c r="E83" s="22" t="s">
        <v>26</v>
      </c>
      <c r="F83" s="22" t="s">
        <v>27</v>
      </c>
      <c r="I83" s="22">
        <v>3.51</v>
      </c>
      <c r="J83" s="22">
        <v>2.58</v>
      </c>
      <c r="K83" s="22">
        <f t="shared" si="42"/>
        <v>0.93</v>
      </c>
      <c r="L83" s="22">
        <v>0.02</v>
      </c>
      <c r="M83" s="22">
        <f t="shared" si="43"/>
        <v>0.91</v>
      </c>
      <c r="N83" s="22">
        <v>1450</v>
      </c>
      <c r="P83" s="22">
        <f t="shared" si="44"/>
        <v>1348.5</v>
      </c>
      <c r="Q83" s="22">
        <f t="shared" si="45"/>
        <v>1319.5</v>
      </c>
      <c r="R83" s="22">
        <f t="shared" si="46"/>
        <v>1310</v>
      </c>
      <c r="S83" s="22">
        <f t="shared" si="47"/>
        <v>1310</v>
      </c>
    </row>
    <row r="84" s="22" customFormat="1" customHeight="1" spans="2:22">
      <c r="B84" s="25">
        <v>46136</v>
      </c>
      <c r="C84" s="22" t="s">
        <v>106</v>
      </c>
      <c r="D84" s="27" t="s">
        <v>93</v>
      </c>
      <c r="E84" s="22" t="s">
        <v>37</v>
      </c>
      <c r="F84" s="22" t="s">
        <v>75</v>
      </c>
      <c r="I84" s="22">
        <v>1.67</v>
      </c>
      <c r="J84" s="22">
        <v>1.14</v>
      </c>
      <c r="K84" s="22">
        <f t="shared" si="42"/>
        <v>0.53</v>
      </c>
      <c r="L84" s="22">
        <v>0</v>
      </c>
      <c r="M84" s="22">
        <f t="shared" si="43"/>
        <v>0.53</v>
      </c>
      <c r="N84" s="22">
        <v>1800</v>
      </c>
      <c r="P84" s="22">
        <f t="shared" si="44"/>
        <v>954</v>
      </c>
      <c r="Q84" s="22">
        <f t="shared" si="45"/>
        <v>954</v>
      </c>
      <c r="R84" s="22">
        <f t="shared" si="46"/>
        <v>950</v>
      </c>
      <c r="S84" s="22">
        <f t="shared" si="47"/>
        <v>950</v>
      </c>
    </row>
    <row r="85" s="22" customFormat="1" customHeight="1" spans="2:22">
      <c r="B85" s="25">
        <v>46136</v>
      </c>
      <c r="C85" s="22" t="s">
        <v>42</v>
      </c>
      <c r="D85" s="22" t="s">
        <v>41</v>
      </c>
      <c r="E85" s="22" t="s">
        <v>68</v>
      </c>
      <c r="F85" s="22" t="s">
        <v>27</v>
      </c>
      <c r="I85" s="22">
        <v>13.78</v>
      </c>
      <c r="J85" s="22">
        <v>5.05</v>
      </c>
      <c r="K85" s="22">
        <f t="shared" si="42"/>
        <v>8.73</v>
      </c>
      <c r="L85" s="22">
        <v>0</v>
      </c>
      <c r="M85" s="22">
        <f t="shared" si="43"/>
        <v>8.73</v>
      </c>
      <c r="N85" s="22">
        <v>1900</v>
      </c>
      <c r="P85" s="22">
        <f t="shared" si="44"/>
        <v>16587</v>
      </c>
      <c r="Q85" s="22">
        <f t="shared" si="45"/>
        <v>16587</v>
      </c>
      <c r="R85" s="22">
        <f t="shared" si="46"/>
        <v>16580</v>
      </c>
      <c r="S85" s="22">
        <f t="shared" si="47"/>
        <v>16580</v>
      </c>
    </row>
    <row r="86" s="22" customFormat="1" customHeight="1" spans="2:22">
      <c r="B86" s="25">
        <v>46136</v>
      </c>
      <c r="C86" s="22" t="s">
        <v>169</v>
      </c>
      <c r="D86" s="22" t="s">
        <v>170</v>
      </c>
      <c r="E86" s="22" t="s">
        <v>43</v>
      </c>
      <c r="F86" s="22" t="s">
        <v>75</v>
      </c>
      <c r="I86" s="22">
        <v>7.03</v>
      </c>
      <c r="J86" s="22">
        <v>3.39</v>
      </c>
      <c r="K86" s="22">
        <f t="shared" si="42"/>
        <v>3.64</v>
      </c>
      <c r="L86" s="22">
        <v>0.04</v>
      </c>
      <c r="M86" s="22">
        <f t="shared" si="43"/>
        <v>3.6</v>
      </c>
      <c r="N86" s="22">
        <v>1600</v>
      </c>
      <c r="P86" s="22">
        <f t="shared" si="44"/>
        <v>5824</v>
      </c>
      <c r="Q86" s="22">
        <f t="shared" si="45"/>
        <v>5760</v>
      </c>
      <c r="R86" s="22">
        <f t="shared" si="46"/>
        <v>5760</v>
      </c>
      <c r="S86" s="22">
        <f t="shared" si="47"/>
        <v>5760</v>
      </c>
    </row>
    <row r="87" s="22" customFormat="1" customHeight="1" spans="2:22">
      <c r="B87" s="25">
        <v>46136</v>
      </c>
      <c r="C87" s="22" t="s">
        <v>133</v>
      </c>
      <c r="D87" s="22" t="s">
        <v>134</v>
      </c>
      <c r="E87" s="22" t="s">
        <v>34</v>
      </c>
      <c r="F87" s="22" t="s">
        <v>75</v>
      </c>
      <c r="I87" s="22">
        <v>8.71</v>
      </c>
      <c r="J87" s="22">
        <v>3.9</v>
      </c>
      <c r="K87" s="22">
        <f t="shared" si="42"/>
        <v>4.81</v>
      </c>
      <c r="L87" s="22">
        <v>0.05</v>
      </c>
      <c r="M87" s="22">
        <f t="shared" si="43"/>
        <v>4.76</v>
      </c>
      <c r="N87" s="22">
        <v>1850</v>
      </c>
      <c r="P87" s="22">
        <f t="shared" si="44"/>
        <v>8898.5</v>
      </c>
      <c r="Q87" s="22">
        <f t="shared" si="45"/>
        <v>8806</v>
      </c>
      <c r="R87" s="22">
        <f t="shared" si="46"/>
        <v>8800</v>
      </c>
      <c r="S87" s="22">
        <f t="shared" si="47"/>
        <v>8800</v>
      </c>
    </row>
    <row r="88" s="22" customFormat="1" customHeight="1" spans="2:22">
      <c r="B88" s="25">
        <v>46136</v>
      </c>
      <c r="C88" s="22" t="s">
        <v>171</v>
      </c>
      <c r="D88" s="22" t="s">
        <v>142</v>
      </c>
      <c r="E88" s="22" t="s">
        <v>34</v>
      </c>
      <c r="F88" s="22" t="s">
        <v>75</v>
      </c>
      <c r="I88" s="22">
        <v>28.22</v>
      </c>
      <c r="J88" s="22">
        <v>15.95</v>
      </c>
      <c r="K88" s="22">
        <f t="shared" si="42"/>
        <v>12.27</v>
      </c>
      <c r="L88" s="22">
        <v>0.05</v>
      </c>
      <c r="M88" s="22">
        <f t="shared" si="43"/>
        <v>12.22</v>
      </c>
      <c r="N88" s="22">
        <v>2020</v>
      </c>
      <c r="P88" s="22">
        <f t="shared" si="44"/>
        <v>24785.4</v>
      </c>
      <c r="Q88" s="22">
        <f t="shared" si="45"/>
        <v>24684.4</v>
      </c>
      <c r="R88" s="22">
        <f t="shared" si="46"/>
        <v>24680</v>
      </c>
      <c r="S88" s="22">
        <f t="shared" si="47"/>
        <v>24680</v>
      </c>
    </row>
    <row r="89" s="22" customFormat="1" customHeight="1" spans="2:22">
      <c r="B89" s="25">
        <v>46136</v>
      </c>
      <c r="C89" s="22" t="s">
        <v>120</v>
      </c>
      <c r="D89" s="22" t="s">
        <v>172</v>
      </c>
      <c r="E89" s="22" t="s">
        <v>55</v>
      </c>
      <c r="F89" s="22" t="s">
        <v>38</v>
      </c>
      <c r="G89" s="22">
        <v>34.3</v>
      </c>
      <c r="H89" s="22">
        <f>K89-G89</f>
        <v>-0.119999999999997</v>
      </c>
      <c r="I89" s="26">
        <v>50.5</v>
      </c>
      <c r="J89" s="22">
        <v>16.32</v>
      </c>
      <c r="K89" s="22">
        <f t="shared" si="42"/>
        <v>34.18</v>
      </c>
      <c r="L89" s="22">
        <v>0</v>
      </c>
      <c r="M89" s="22">
        <f t="shared" si="43"/>
        <v>34.18</v>
      </c>
      <c r="N89" s="22">
        <v>1920</v>
      </c>
      <c r="O89" s="22">
        <v>1370</v>
      </c>
      <c r="P89" s="22">
        <f t="shared" si="44"/>
        <v>65625.6</v>
      </c>
      <c r="Q89" s="22">
        <f t="shared" si="45"/>
        <v>65625.6</v>
      </c>
      <c r="R89" s="22">
        <f>ROUNDDOWN(G89*N89,-1)</f>
        <v>65850</v>
      </c>
      <c r="S89" s="22">
        <f>ROUNDDOWN(G89*N89+O89,-1)</f>
        <v>67220</v>
      </c>
      <c r="T89" s="22" t="s">
        <v>47</v>
      </c>
      <c r="U89" s="25">
        <v>46136</v>
      </c>
      <c r="V89" s="22" t="s">
        <v>123</v>
      </c>
    </row>
    <row r="90" s="22" customFormat="1" customHeight="1" spans="2:22">
      <c r="B90" s="25">
        <v>46137</v>
      </c>
      <c r="C90" s="22" t="s">
        <v>168</v>
      </c>
      <c r="D90" s="22" t="s">
        <v>142</v>
      </c>
      <c r="E90" s="22" t="s">
        <v>34</v>
      </c>
      <c r="F90" s="22" t="s">
        <v>75</v>
      </c>
      <c r="I90" s="26">
        <v>25.1</v>
      </c>
      <c r="J90" s="22">
        <v>16.57</v>
      </c>
      <c r="K90" s="22">
        <f t="shared" si="42"/>
        <v>8.53</v>
      </c>
      <c r="L90" s="22">
        <v>0.06</v>
      </c>
      <c r="M90" s="22">
        <f t="shared" si="43"/>
        <v>8.47</v>
      </c>
      <c r="N90" s="22">
        <v>1970</v>
      </c>
      <c r="P90" s="22">
        <f t="shared" si="44"/>
        <v>16804.1</v>
      </c>
      <c r="Q90" s="22">
        <f t="shared" si="45"/>
        <v>16685.9</v>
      </c>
      <c r="R90" s="22">
        <f t="shared" si="46"/>
        <v>16680</v>
      </c>
      <c r="S90" s="22">
        <f t="shared" si="47"/>
        <v>16680</v>
      </c>
    </row>
    <row r="91" s="22" customFormat="1" customHeight="1" spans="2:22">
      <c r="B91" s="25">
        <v>46139</v>
      </c>
      <c r="C91" s="22" t="s">
        <v>171</v>
      </c>
      <c r="D91" s="22" t="s">
        <v>142</v>
      </c>
      <c r="E91" s="22" t="s">
        <v>37</v>
      </c>
      <c r="F91" s="22" t="s">
        <v>75</v>
      </c>
      <c r="I91" s="22">
        <v>24.09</v>
      </c>
      <c r="J91" s="22">
        <v>15.98</v>
      </c>
      <c r="K91" s="22">
        <f t="shared" si="42"/>
        <v>8.11</v>
      </c>
      <c r="L91" s="22">
        <v>0.15</v>
      </c>
      <c r="M91" s="22">
        <f t="shared" si="43"/>
        <v>7.96</v>
      </c>
      <c r="N91" s="22">
        <v>1700</v>
      </c>
      <c r="P91" s="22">
        <f t="shared" si="44"/>
        <v>13787</v>
      </c>
      <c r="Q91" s="22">
        <f t="shared" si="45"/>
        <v>13532</v>
      </c>
      <c r="R91" s="22">
        <f t="shared" si="46"/>
        <v>13530</v>
      </c>
      <c r="S91" s="22">
        <f t="shared" si="47"/>
        <v>13530</v>
      </c>
    </row>
    <row r="92" s="22" customFormat="1" customHeight="1" spans="2:22">
      <c r="B92" s="25">
        <v>46139</v>
      </c>
      <c r="C92" s="22" t="s">
        <v>171</v>
      </c>
      <c r="D92" s="22" t="s">
        <v>142</v>
      </c>
      <c r="E92" s="22" t="s">
        <v>37</v>
      </c>
      <c r="F92" s="22" t="s">
        <v>75</v>
      </c>
      <c r="I92" s="22">
        <v>25.99</v>
      </c>
      <c r="J92" s="22">
        <v>15.84</v>
      </c>
      <c r="K92" s="22">
        <f t="shared" ref="K92:K102" si="48">I92-J92</f>
        <v>10.15</v>
      </c>
      <c r="L92" s="22">
        <v>0.15</v>
      </c>
      <c r="M92" s="22">
        <f t="shared" ref="M92:M102" si="49">K92-L92</f>
        <v>10</v>
      </c>
      <c r="N92" s="22">
        <v>1800</v>
      </c>
      <c r="P92" s="22">
        <f t="shared" ref="P92:P102" si="50">K92*N92</f>
        <v>18270</v>
      </c>
      <c r="Q92" s="22">
        <f t="shared" ref="Q92:Q102" si="51">M92*N92</f>
        <v>18000</v>
      </c>
      <c r="R92" s="22">
        <f t="shared" ref="R92:R102" si="52">ROUNDDOWN(M92*N92,-1)</f>
        <v>18000</v>
      </c>
      <c r="S92" s="22">
        <f t="shared" ref="S92:S102" si="53">ROUNDDOWN(M92*N92+O92,-1)</f>
        <v>18000</v>
      </c>
    </row>
    <row r="93" s="22" customFormat="1" customHeight="1" spans="2:22">
      <c r="B93" s="25">
        <v>46139</v>
      </c>
      <c r="C93" s="22" t="s">
        <v>135</v>
      </c>
      <c r="D93" s="22" t="s">
        <v>136</v>
      </c>
      <c r="E93" s="22" t="s">
        <v>43</v>
      </c>
      <c r="F93" s="22" t="s">
        <v>75</v>
      </c>
      <c r="I93" s="22">
        <v>9.62</v>
      </c>
      <c r="J93" s="22">
        <v>5.03</v>
      </c>
      <c r="K93" s="22">
        <f t="shared" si="48"/>
        <v>4.59</v>
      </c>
      <c r="L93" s="22">
        <v>0.15</v>
      </c>
      <c r="M93" s="22">
        <f t="shared" si="49"/>
        <v>4.44</v>
      </c>
      <c r="N93" s="22">
        <v>1500</v>
      </c>
      <c r="P93" s="22">
        <f t="shared" si="50"/>
        <v>6885</v>
      </c>
      <c r="Q93" s="22">
        <f t="shared" si="51"/>
        <v>6660</v>
      </c>
      <c r="R93" s="22">
        <f t="shared" si="52"/>
        <v>6660</v>
      </c>
      <c r="S93" s="22">
        <f t="shared" si="53"/>
        <v>6660</v>
      </c>
    </row>
    <row r="94" s="22" customFormat="1" customHeight="1" spans="2:22">
      <c r="B94" s="25">
        <v>46139</v>
      </c>
      <c r="C94" s="22" t="s">
        <v>135</v>
      </c>
      <c r="D94" s="22" t="s">
        <v>136</v>
      </c>
      <c r="E94" s="22" t="s">
        <v>43</v>
      </c>
      <c r="F94" s="22" t="s">
        <v>75</v>
      </c>
      <c r="I94" s="22">
        <v>10.01</v>
      </c>
      <c r="J94" s="22">
        <v>5.02</v>
      </c>
      <c r="K94" s="22">
        <f t="shared" si="48"/>
        <v>4.99</v>
      </c>
      <c r="L94" s="22">
        <v>0.12</v>
      </c>
      <c r="M94" s="22">
        <f t="shared" si="49"/>
        <v>4.87</v>
      </c>
      <c r="N94" s="22">
        <v>1500</v>
      </c>
      <c r="P94" s="22">
        <f t="shared" si="50"/>
        <v>7485</v>
      </c>
      <c r="Q94" s="22">
        <f t="shared" si="51"/>
        <v>7305</v>
      </c>
      <c r="R94" s="22">
        <f t="shared" si="52"/>
        <v>7300</v>
      </c>
      <c r="S94" s="22">
        <f t="shared" si="53"/>
        <v>7300</v>
      </c>
    </row>
    <row r="95" s="22" customFormat="1" customHeight="1" spans="2:22">
      <c r="B95" s="25">
        <v>46140</v>
      </c>
      <c r="C95" s="22" t="s">
        <v>168</v>
      </c>
      <c r="D95" s="22" t="s">
        <v>142</v>
      </c>
      <c r="E95" s="22" t="s">
        <v>37</v>
      </c>
      <c r="F95" s="22" t="s">
        <v>75</v>
      </c>
      <c r="I95" s="22">
        <v>27.22</v>
      </c>
      <c r="J95" s="22">
        <v>16.54</v>
      </c>
      <c r="K95" s="22">
        <f t="shared" si="48"/>
        <v>10.68</v>
      </c>
      <c r="L95" s="22">
        <v>0.4</v>
      </c>
      <c r="M95" s="22">
        <f t="shared" si="49"/>
        <v>10.28</v>
      </c>
      <c r="N95" s="22">
        <v>1700</v>
      </c>
      <c r="P95" s="22">
        <f t="shared" si="50"/>
        <v>18156</v>
      </c>
      <c r="Q95" s="22">
        <f t="shared" si="51"/>
        <v>17476</v>
      </c>
      <c r="R95" s="22">
        <f t="shared" si="52"/>
        <v>17470</v>
      </c>
      <c r="S95" s="22">
        <f t="shared" si="53"/>
        <v>17470</v>
      </c>
    </row>
    <row r="96" s="22" customFormat="1" customHeight="1" spans="2:22">
      <c r="B96" s="25">
        <v>46140</v>
      </c>
      <c r="C96" s="22" t="s">
        <v>171</v>
      </c>
      <c r="D96" s="22" t="s">
        <v>142</v>
      </c>
      <c r="E96" s="22" t="s">
        <v>34</v>
      </c>
      <c r="F96" s="22" t="s">
        <v>75</v>
      </c>
      <c r="I96" s="22">
        <v>23.61</v>
      </c>
      <c r="J96" s="22">
        <v>16.45</v>
      </c>
      <c r="K96" s="22">
        <f t="shared" si="48"/>
        <v>7.16</v>
      </c>
      <c r="L96" s="22">
        <v>0.1</v>
      </c>
      <c r="M96" s="22">
        <f t="shared" si="49"/>
        <v>7.06</v>
      </c>
      <c r="N96" s="22">
        <v>1850</v>
      </c>
      <c r="P96" s="22">
        <f t="shared" si="50"/>
        <v>13246</v>
      </c>
      <c r="Q96" s="22">
        <f t="shared" si="51"/>
        <v>13061</v>
      </c>
      <c r="R96" s="22">
        <f t="shared" si="52"/>
        <v>13060</v>
      </c>
      <c r="S96" s="22">
        <f t="shared" si="53"/>
        <v>13060</v>
      </c>
    </row>
    <row r="97" s="22" customFormat="1" customHeight="1" spans="2:22">
      <c r="B97" s="25">
        <v>46140</v>
      </c>
      <c r="C97" s="22" t="s">
        <v>120</v>
      </c>
      <c r="D97" s="22" t="s">
        <v>173</v>
      </c>
      <c r="E97" s="22" t="s">
        <v>34</v>
      </c>
      <c r="F97" s="22" t="s">
        <v>75</v>
      </c>
      <c r="I97" s="22">
        <v>23.51</v>
      </c>
      <c r="J97" s="22">
        <v>16.19</v>
      </c>
      <c r="K97" s="22">
        <f t="shared" si="48"/>
        <v>7.32</v>
      </c>
      <c r="L97" s="22">
        <v>0</v>
      </c>
      <c r="M97" s="22">
        <f t="shared" si="49"/>
        <v>7.32</v>
      </c>
      <c r="N97" s="22">
        <v>1920</v>
      </c>
      <c r="O97" s="22">
        <v>1300</v>
      </c>
      <c r="P97" s="22">
        <f t="shared" si="50"/>
        <v>14054.4</v>
      </c>
      <c r="Q97" s="22">
        <f t="shared" si="51"/>
        <v>14054.4</v>
      </c>
      <c r="R97" s="22">
        <f t="shared" si="52"/>
        <v>14050</v>
      </c>
      <c r="S97" s="22">
        <f t="shared" si="53"/>
        <v>15350</v>
      </c>
      <c r="V97" s="22" t="s">
        <v>123</v>
      </c>
    </row>
    <row r="98" s="22" customFormat="1" customHeight="1" spans="2:22">
      <c r="B98" s="25">
        <v>46141</v>
      </c>
      <c r="C98" s="22" t="s">
        <v>174</v>
      </c>
      <c r="D98" s="22" t="s">
        <v>142</v>
      </c>
      <c r="E98" s="22" t="s">
        <v>34</v>
      </c>
      <c r="F98" s="22" t="s">
        <v>75</v>
      </c>
      <c r="I98" s="22">
        <v>16.88</v>
      </c>
      <c r="J98" s="22">
        <v>12.9</v>
      </c>
      <c r="K98" s="22">
        <f t="shared" si="48"/>
        <v>3.98</v>
      </c>
      <c r="L98" s="22">
        <v>0.05</v>
      </c>
      <c r="M98" s="22">
        <f t="shared" si="49"/>
        <v>3.93</v>
      </c>
      <c r="N98" s="22">
        <v>1850</v>
      </c>
      <c r="P98" s="22">
        <f t="shared" si="50"/>
        <v>7363</v>
      </c>
      <c r="Q98" s="22">
        <f t="shared" si="51"/>
        <v>7270.5</v>
      </c>
      <c r="R98" s="22">
        <f t="shared" si="52"/>
        <v>7270</v>
      </c>
      <c r="S98" s="22">
        <f t="shared" si="53"/>
        <v>7270</v>
      </c>
    </row>
    <row r="99" s="22" customFormat="1" customHeight="1" spans="2:22">
      <c r="B99" s="25">
        <v>46141</v>
      </c>
      <c r="C99" s="22" t="s">
        <v>168</v>
      </c>
      <c r="D99" s="22" t="s">
        <v>142</v>
      </c>
      <c r="E99" s="22" t="s">
        <v>34</v>
      </c>
      <c r="F99" s="22" t="s">
        <v>75</v>
      </c>
      <c r="I99" s="22">
        <v>24.03</v>
      </c>
      <c r="J99" s="22">
        <v>19.53</v>
      </c>
      <c r="K99" s="22">
        <f t="shared" si="48"/>
        <v>4.5</v>
      </c>
      <c r="L99" s="22">
        <v>0</v>
      </c>
      <c r="M99" s="22">
        <f t="shared" si="49"/>
        <v>4.5</v>
      </c>
      <c r="N99" s="22">
        <v>1800</v>
      </c>
      <c r="P99" s="22">
        <f t="shared" si="50"/>
        <v>8100</v>
      </c>
      <c r="Q99" s="22">
        <f t="shared" si="51"/>
        <v>8100</v>
      </c>
      <c r="R99" s="22">
        <f t="shared" si="52"/>
        <v>8100</v>
      </c>
      <c r="S99" s="22">
        <f t="shared" si="53"/>
        <v>8100</v>
      </c>
    </row>
    <row r="100" s="22" customFormat="1" customHeight="1" spans="2:22">
      <c r="B100" s="25">
        <v>46141</v>
      </c>
      <c r="C100" s="22" t="s">
        <v>168</v>
      </c>
      <c r="D100" s="22" t="s">
        <v>142</v>
      </c>
      <c r="E100" s="22" t="s">
        <v>175</v>
      </c>
      <c r="F100" s="22" t="s">
        <v>75</v>
      </c>
      <c r="I100" s="22">
        <v>19.53</v>
      </c>
      <c r="J100" s="22">
        <v>16.54</v>
      </c>
      <c r="K100" s="22">
        <f t="shared" si="48"/>
        <v>2.99</v>
      </c>
      <c r="L100" s="22">
        <v>0</v>
      </c>
      <c r="M100" s="22">
        <f t="shared" si="49"/>
        <v>2.99</v>
      </c>
      <c r="N100" s="22">
        <v>850</v>
      </c>
      <c r="P100" s="22">
        <f t="shared" si="50"/>
        <v>2541.5</v>
      </c>
      <c r="Q100" s="22">
        <f t="shared" si="51"/>
        <v>2541.5</v>
      </c>
      <c r="R100" s="22">
        <f t="shared" si="52"/>
        <v>2540</v>
      </c>
      <c r="S100" s="22">
        <f t="shared" si="53"/>
        <v>2540</v>
      </c>
    </row>
    <row r="101" s="22" customFormat="1" customHeight="1" spans="2:22">
      <c r="B101" s="25">
        <v>46141</v>
      </c>
      <c r="C101" s="63" t="s">
        <v>176</v>
      </c>
      <c r="D101" s="22" t="s">
        <v>177</v>
      </c>
      <c r="E101" s="22" t="s">
        <v>84</v>
      </c>
      <c r="F101" s="22" t="s">
        <v>85</v>
      </c>
      <c r="I101" s="26">
        <v>23.1</v>
      </c>
      <c r="J101" s="22">
        <v>17.56</v>
      </c>
      <c r="K101" s="22">
        <f t="shared" si="48"/>
        <v>5.54</v>
      </c>
      <c r="L101" s="22">
        <v>0</v>
      </c>
      <c r="M101" s="22">
        <f t="shared" si="49"/>
        <v>5.54</v>
      </c>
      <c r="N101" s="22">
        <v>1800</v>
      </c>
      <c r="P101" s="22">
        <f t="shared" si="50"/>
        <v>9972.00000000001</v>
      </c>
      <c r="Q101" s="22">
        <f t="shared" si="51"/>
        <v>9972.00000000001</v>
      </c>
      <c r="R101" s="22">
        <f t="shared" si="52"/>
        <v>9970</v>
      </c>
      <c r="S101" s="22">
        <f t="shared" si="53"/>
        <v>9970</v>
      </c>
      <c r="T101" s="22" t="s">
        <v>71</v>
      </c>
      <c r="U101" s="25">
        <v>46141</v>
      </c>
    </row>
    <row r="102" s="22" customFormat="1" customHeight="1" spans="2:22">
      <c r="K102" s="22">
        <f t="shared" si="48"/>
        <v>0</v>
      </c>
      <c r="M102" s="22">
        <f t="shared" si="49"/>
        <v>0</v>
      </c>
      <c r="P102" s="22">
        <f t="shared" si="50"/>
        <v>0</v>
      </c>
      <c r="Q102" s="22">
        <f t="shared" si="51"/>
        <v>0</v>
      </c>
      <c r="R102" s="22">
        <f t="shared" si="52"/>
        <v>0</v>
      </c>
      <c r="S102" s="22">
        <f t="shared" si="53"/>
        <v>0</v>
      </c>
    </row>
    <row r="103" s="2" customFormat="1" customHeight="1" spans="2:22">
      <c r="B103" s="22"/>
      <c r="K103" s="30">
        <f>SUBTOTAL(9,K4:K102)</f>
        <v>728.54</v>
      </c>
      <c r="L103" s="30">
        <f>SUBTOTAL(9,L4:L102)</f>
        <v>8.655</v>
      </c>
      <c r="M103" s="30">
        <f>SUBTOTAL(9,M4:M102)</f>
        <v>719.885</v>
      </c>
      <c r="O103" s="2">
        <f>SUBTOTAL(9,O4:O102)</f>
        <v>12420</v>
      </c>
      <c r="P103" s="2">
        <f>SUBTOTAL(9,P4:P102)</f>
        <v>1309059.3</v>
      </c>
      <c r="Q103" s="2">
        <f>SUBTOTAL(9,Q4:Q102)</f>
        <v>1294911.6</v>
      </c>
      <c r="R103" s="2">
        <f>SUBTOTAL(9,R4:R102)</f>
        <v>1295020</v>
      </c>
      <c r="S103" s="2">
        <f>SUBTOTAL(9,S4:S102)</f>
        <v>1307440</v>
      </c>
    </row>
    <row r="104" customHeight="1" spans="2:22">
      <c r="B104" s="2"/>
    </row>
  </sheetData>
  <autoFilter xmlns:etc="http://www.wps.cn/officeDocument/2017/etCustomData" ref="B3:X102" etc:filterBottomFollowUsedRange="0">
    <extLst/>
  </autoFilter>
  <mergeCells count="2">
    <mergeCell ref="B2:H2"/>
    <mergeCell ref="I2:M2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1:X34"/>
  <sheetViews>
    <sheetView showOutlineSymbols="0" tabSelected="1" workbookViewId="0">
      <pane ySplit="3" topLeftCell="A12" activePane="bottomLeft" state="frozen"/>
      <selection/>
      <selection pane="bottomLeft" activeCell="J14" sqref="J14"/>
    </sheetView>
  </sheetViews>
  <sheetFormatPr defaultColWidth="9" defaultRowHeight="30" customHeight="1"/>
  <cols>
    <col min="1" max="1" width="3.50925925925926" style="3" customWidth="1"/>
    <col min="2" max="3" width="9" style="3"/>
    <col min="4" max="4" width="10.75" style="3" customWidth="1"/>
    <col min="5" max="5" width="12.8796296296296" style="3" customWidth="1"/>
    <col min="6" max="6" width="11.3796296296296" style="3" customWidth="1"/>
    <col min="7" max="15" width="9" style="3"/>
    <col min="16" max="16" width="12.3796296296296" style="3" customWidth="1"/>
    <col min="17" max="17" width="12.8796296296296" style="3" customWidth="1"/>
    <col min="18" max="16384" width="9" style="3"/>
  </cols>
  <sheetData>
    <row r="1" s="1" customFormat="1" customHeight="1" spans="2:24">
      <c r="B1" s="4" t="s">
        <v>178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>
        <f>S34/K34</f>
        <v>1748.33228003651</v>
      </c>
      <c r="Q1" s="6">
        <f>S34/M34</f>
        <v>1865.43792612572</v>
      </c>
      <c r="R1" s="5"/>
      <c r="S1" s="5"/>
      <c r="T1" s="5"/>
      <c r="U1" s="7"/>
    </row>
    <row r="2" s="1" customFormat="1" ht="21" customHeight="1" spans="2:24">
      <c r="B2" s="8" t="s">
        <v>1</v>
      </c>
      <c r="C2" s="9"/>
      <c r="D2" s="9"/>
      <c r="E2" s="9"/>
      <c r="F2" s="9"/>
      <c r="G2" s="9"/>
      <c r="H2" s="9"/>
      <c r="I2" s="9" t="s">
        <v>2</v>
      </c>
      <c r="J2" s="9"/>
      <c r="K2" s="9"/>
      <c r="L2" s="9"/>
      <c r="M2" s="9"/>
      <c r="N2" s="10"/>
      <c r="O2" s="10"/>
      <c r="P2" s="11"/>
      <c r="Q2" s="11"/>
      <c r="R2" s="12"/>
      <c r="S2" s="10"/>
      <c r="T2" s="10"/>
      <c r="U2" s="13"/>
      <c r="V2" s="14"/>
      <c r="W2" s="14"/>
      <c r="X2" s="14"/>
    </row>
    <row r="3" s="1" customFormat="1" customHeight="1" spans="2:24">
      <c r="B3" s="15" t="s">
        <v>3</v>
      </c>
      <c r="C3" s="15" t="s">
        <v>4</v>
      </c>
      <c r="D3" s="16" t="s">
        <v>5</v>
      </c>
      <c r="E3" s="15" t="s">
        <v>6</v>
      </c>
      <c r="F3" s="15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16" t="s">
        <v>16</v>
      </c>
      <c r="P3" s="16" t="s">
        <v>17</v>
      </c>
      <c r="Q3" s="16" t="s">
        <v>18</v>
      </c>
      <c r="R3" s="17" t="s">
        <v>19</v>
      </c>
      <c r="S3" s="16" t="s">
        <v>20</v>
      </c>
      <c r="T3" s="18" t="s">
        <v>21</v>
      </c>
      <c r="U3" s="19" t="s">
        <v>22</v>
      </c>
      <c r="V3" s="14" t="s">
        <v>23</v>
      </c>
      <c r="W3" s="14"/>
      <c r="X3" s="14"/>
    </row>
    <row r="4" customHeight="1" spans="2:24">
      <c r="B4" s="20">
        <v>46143</v>
      </c>
      <c r="C4" s="3" t="s">
        <v>120</v>
      </c>
      <c r="D4" s="3" t="s">
        <v>173</v>
      </c>
      <c r="E4" s="3" t="s">
        <v>34</v>
      </c>
      <c r="F4" s="3" t="s">
        <v>75</v>
      </c>
      <c r="I4" s="3">
        <v>29.8</v>
      </c>
      <c r="J4" s="3">
        <v>16.12</v>
      </c>
      <c r="K4" s="3">
        <f>I4-J4</f>
        <v>13.68</v>
      </c>
      <c r="L4" s="3">
        <v>0</v>
      </c>
      <c r="M4" s="3">
        <f>K4-L4</f>
        <v>13.68</v>
      </c>
      <c r="N4" s="3">
        <v>1920</v>
      </c>
      <c r="O4" s="3">
        <v>1300</v>
      </c>
      <c r="P4" s="3">
        <f>K4*N4</f>
        <v>26265.6</v>
      </c>
      <c r="Q4" s="3">
        <f>M4*N4</f>
        <v>26265.6</v>
      </c>
      <c r="R4" s="3">
        <f>ROUNDDOWN(M4*N4,-1)</f>
        <v>26260</v>
      </c>
      <c r="S4" s="3">
        <f>ROUNDDOWN(M4*N4+O4,-1)</f>
        <v>27560</v>
      </c>
      <c r="V4" s="3" t="s">
        <v>123</v>
      </c>
    </row>
    <row r="5" customHeight="1" spans="2:24">
      <c r="B5" s="20">
        <v>46147</v>
      </c>
      <c r="C5" s="3" t="s">
        <v>28</v>
      </c>
      <c r="D5" s="3" t="s">
        <v>179</v>
      </c>
      <c r="E5" s="3" t="s">
        <v>128</v>
      </c>
      <c r="F5" s="3" t="s">
        <v>27</v>
      </c>
      <c r="G5" s="3">
        <v>47.64</v>
      </c>
      <c r="H5" s="3">
        <f>K5-G5</f>
        <v>0.170000000000002</v>
      </c>
      <c r="I5" s="3">
        <v>66</v>
      </c>
      <c r="J5" s="3">
        <v>18.19</v>
      </c>
      <c r="K5" s="3">
        <f t="shared" ref="K5:K18" si="0">I5-J5</f>
        <v>47.81</v>
      </c>
      <c r="L5" s="3">
        <v>7.94</v>
      </c>
      <c r="M5" s="3">
        <f t="shared" ref="M5:M21" si="1">K5-L5</f>
        <v>39.87</v>
      </c>
      <c r="N5" s="3">
        <v>1520</v>
      </c>
      <c r="O5" s="3">
        <v>2380</v>
      </c>
      <c r="P5" s="3">
        <f t="shared" ref="P5:P18" si="2">K5*N5</f>
        <v>72671.2</v>
      </c>
      <c r="Q5" s="3">
        <f t="shared" ref="Q5:Q18" si="3">M5*N5</f>
        <v>60602.4</v>
      </c>
      <c r="R5" s="3">
        <f>ROUNDDOWN(G5*N5,-1)</f>
        <v>72410</v>
      </c>
      <c r="S5" s="3">
        <f>ROUNDDOWN(G5*N5+O5,-1)</f>
        <v>74790</v>
      </c>
      <c r="T5" s="3" t="s">
        <v>47</v>
      </c>
      <c r="U5" s="20">
        <v>46141</v>
      </c>
      <c r="V5" s="3" t="s">
        <v>180</v>
      </c>
    </row>
    <row r="6" customHeight="1" spans="2:24">
      <c r="B6" s="20">
        <v>46147</v>
      </c>
      <c r="C6" s="3" t="s">
        <v>120</v>
      </c>
      <c r="D6" s="3" t="s">
        <v>125</v>
      </c>
      <c r="E6" s="3" t="s">
        <v>68</v>
      </c>
      <c r="F6" s="3" t="s">
        <v>126</v>
      </c>
      <c r="I6" s="3">
        <v>31.24</v>
      </c>
      <c r="J6" s="3">
        <v>16.53</v>
      </c>
      <c r="K6" s="3">
        <f t="shared" si="0"/>
        <v>14.71</v>
      </c>
      <c r="L6" s="3">
        <v>0.2</v>
      </c>
      <c r="M6" s="3">
        <f t="shared" si="1"/>
        <v>14.51</v>
      </c>
      <c r="N6" s="3">
        <v>1850</v>
      </c>
      <c r="O6" s="3">
        <v>1200</v>
      </c>
      <c r="P6" s="3">
        <f t="shared" si="2"/>
        <v>27213.5</v>
      </c>
      <c r="Q6" s="3">
        <f t="shared" si="3"/>
        <v>26843.5</v>
      </c>
      <c r="R6" s="3">
        <f t="shared" ref="R5:R18" si="4">ROUNDDOWN(M6*N6,-1)</f>
        <v>26840</v>
      </c>
      <c r="S6" s="3">
        <f t="shared" ref="S5:S18" si="5">ROUNDDOWN(M6*N6+O6,-1)</f>
        <v>28040</v>
      </c>
      <c r="V6" s="3" t="s">
        <v>123</v>
      </c>
    </row>
    <row r="7" customHeight="1" spans="2:24">
      <c r="B7" s="20">
        <v>46147</v>
      </c>
      <c r="C7" s="3" t="s">
        <v>120</v>
      </c>
      <c r="D7" s="3" t="s">
        <v>125</v>
      </c>
      <c r="E7" s="3" t="s">
        <v>68</v>
      </c>
      <c r="F7" s="3" t="s">
        <v>126</v>
      </c>
      <c r="I7" s="3">
        <v>30.47</v>
      </c>
      <c r="J7" s="3">
        <v>16.55</v>
      </c>
      <c r="K7" s="3">
        <f t="shared" si="0"/>
        <v>13.92</v>
      </c>
      <c r="L7" s="3">
        <v>0.1</v>
      </c>
      <c r="M7" s="3">
        <f t="shared" si="1"/>
        <v>13.82</v>
      </c>
      <c r="N7" s="3">
        <v>1850</v>
      </c>
      <c r="O7" s="3">
        <v>1200</v>
      </c>
      <c r="P7" s="3">
        <f t="shared" si="2"/>
        <v>25752</v>
      </c>
      <c r="Q7" s="3">
        <f t="shared" si="3"/>
        <v>25567</v>
      </c>
      <c r="R7" s="3">
        <f t="shared" si="4"/>
        <v>25560</v>
      </c>
      <c r="S7" s="3">
        <f t="shared" si="5"/>
        <v>26760</v>
      </c>
      <c r="V7" s="3" t="s">
        <v>123</v>
      </c>
    </row>
    <row r="8" customHeight="1" spans="2:24">
      <c r="B8" s="20">
        <v>46147</v>
      </c>
      <c r="C8" s="3" t="s">
        <v>135</v>
      </c>
      <c r="D8" s="3" t="s">
        <v>136</v>
      </c>
      <c r="E8" s="3" t="s">
        <v>43</v>
      </c>
      <c r="F8" s="3" t="s">
        <v>75</v>
      </c>
      <c r="I8" s="3">
        <v>9.6</v>
      </c>
      <c r="J8" s="3">
        <v>5.03</v>
      </c>
      <c r="K8" s="3">
        <f t="shared" si="0"/>
        <v>4.57</v>
      </c>
      <c r="L8" s="3">
        <v>0.15</v>
      </c>
      <c r="M8" s="3">
        <f t="shared" si="1"/>
        <v>4.42</v>
      </c>
      <c r="N8" s="3">
        <v>1500</v>
      </c>
      <c r="P8" s="3">
        <f t="shared" si="2"/>
        <v>6855</v>
      </c>
      <c r="Q8" s="3">
        <f t="shared" si="3"/>
        <v>6630</v>
      </c>
      <c r="R8" s="3">
        <f t="shared" si="4"/>
        <v>6630</v>
      </c>
      <c r="S8" s="3">
        <f t="shared" si="5"/>
        <v>6630</v>
      </c>
    </row>
    <row r="9" customHeight="1" spans="2:24">
      <c r="B9" s="20">
        <v>46147</v>
      </c>
      <c r="C9" s="3" t="s">
        <v>135</v>
      </c>
      <c r="D9" s="3" t="s">
        <v>136</v>
      </c>
      <c r="E9" s="3" t="s">
        <v>43</v>
      </c>
      <c r="F9" s="3" t="s">
        <v>75</v>
      </c>
      <c r="I9" s="3">
        <v>9.61</v>
      </c>
      <c r="J9" s="3">
        <v>5.03</v>
      </c>
      <c r="K9" s="3">
        <f t="shared" si="0"/>
        <v>4.58</v>
      </c>
      <c r="L9" s="3">
        <v>0.15</v>
      </c>
      <c r="M9" s="3">
        <f t="shared" si="1"/>
        <v>4.43</v>
      </c>
      <c r="N9" s="3">
        <v>1500</v>
      </c>
      <c r="P9" s="3">
        <f t="shared" si="2"/>
        <v>6870</v>
      </c>
      <c r="Q9" s="3">
        <f t="shared" si="3"/>
        <v>6645</v>
      </c>
      <c r="R9" s="3">
        <f t="shared" si="4"/>
        <v>6640</v>
      </c>
      <c r="S9" s="3">
        <f t="shared" si="5"/>
        <v>6640</v>
      </c>
    </row>
    <row r="10" customHeight="1" spans="2:24">
      <c r="B10" s="20">
        <v>46147</v>
      </c>
      <c r="C10" s="3" t="s">
        <v>120</v>
      </c>
      <c r="D10" s="3" t="s">
        <v>173</v>
      </c>
      <c r="E10" s="3" t="s">
        <v>34</v>
      </c>
      <c r="F10" s="3" t="s">
        <v>75</v>
      </c>
      <c r="I10" s="3">
        <v>28.48</v>
      </c>
      <c r="J10" s="3">
        <v>16.45</v>
      </c>
      <c r="K10" s="3">
        <f t="shared" si="0"/>
        <v>12.03</v>
      </c>
      <c r="L10" s="3">
        <v>0</v>
      </c>
      <c r="M10" s="3">
        <f t="shared" si="1"/>
        <v>12.03</v>
      </c>
      <c r="N10" s="3">
        <v>1920</v>
      </c>
      <c r="O10" s="3">
        <v>1300</v>
      </c>
      <c r="P10" s="3">
        <f t="shared" si="2"/>
        <v>23097.6</v>
      </c>
      <c r="Q10" s="3">
        <f t="shared" si="3"/>
        <v>23097.6</v>
      </c>
      <c r="R10" s="3">
        <f t="shared" si="4"/>
        <v>23090</v>
      </c>
      <c r="S10" s="3">
        <f t="shared" si="5"/>
        <v>24390</v>
      </c>
      <c r="V10" s="3" t="s">
        <v>123</v>
      </c>
    </row>
    <row r="11" customHeight="1" spans="2:24">
      <c r="B11" s="20">
        <v>46148</v>
      </c>
      <c r="C11" s="3" t="s">
        <v>120</v>
      </c>
      <c r="D11" s="3" t="s">
        <v>173</v>
      </c>
      <c r="E11" s="3" t="s">
        <v>34</v>
      </c>
      <c r="F11" s="3" t="s">
        <v>75</v>
      </c>
      <c r="I11" s="3">
        <v>27.7</v>
      </c>
      <c r="J11" s="3">
        <v>16.47</v>
      </c>
      <c r="K11" s="3">
        <f t="shared" si="0"/>
        <v>11.23</v>
      </c>
      <c r="L11" s="3">
        <v>0</v>
      </c>
      <c r="M11" s="3">
        <f t="shared" si="1"/>
        <v>11.23</v>
      </c>
      <c r="N11" s="3">
        <v>1920</v>
      </c>
      <c r="O11" s="3">
        <v>1300</v>
      </c>
      <c r="P11" s="3">
        <f t="shared" si="2"/>
        <v>21561.6</v>
      </c>
      <c r="Q11" s="3">
        <f t="shared" si="3"/>
        <v>21561.6</v>
      </c>
      <c r="R11" s="3">
        <f t="shared" si="4"/>
        <v>21560</v>
      </c>
      <c r="S11" s="3">
        <f t="shared" si="5"/>
        <v>22860</v>
      </c>
      <c r="V11" s="3" t="s">
        <v>123</v>
      </c>
    </row>
    <row r="12" customHeight="1" spans="2:24">
      <c r="B12" s="20">
        <v>46148</v>
      </c>
      <c r="C12" s="3" t="s">
        <v>106</v>
      </c>
      <c r="D12" s="21" t="s">
        <v>93</v>
      </c>
      <c r="E12" s="3" t="s">
        <v>34</v>
      </c>
      <c r="F12" s="3" t="s">
        <v>75</v>
      </c>
      <c r="I12" s="3">
        <v>1.82</v>
      </c>
      <c r="J12" s="3">
        <v>1.13</v>
      </c>
      <c r="K12" s="3">
        <f t="shared" si="0"/>
        <v>0.69</v>
      </c>
      <c r="L12" s="3">
        <v>0</v>
      </c>
      <c r="M12" s="3">
        <f t="shared" si="1"/>
        <v>0.69</v>
      </c>
      <c r="N12" s="3">
        <v>2020</v>
      </c>
      <c r="P12" s="3">
        <f t="shared" si="2"/>
        <v>1393.8</v>
      </c>
      <c r="Q12" s="3">
        <f t="shared" si="3"/>
        <v>1393.8</v>
      </c>
      <c r="R12" s="3">
        <f t="shared" si="4"/>
        <v>1390</v>
      </c>
      <c r="S12" s="3">
        <f t="shared" si="5"/>
        <v>1390</v>
      </c>
    </row>
    <row r="13" customHeight="1" spans="2:24">
      <c r="B13" s="20">
        <v>46148</v>
      </c>
      <c r="C13" s="3" t="s">
        <v>32</v>
      </c>
      <c r="D13" s="3" t="s">
        <v>64</v>
      </c>
      <c r="E13" s="3" t="s">
        <v>43</v>
      </c>
      <c r="F13" s="3" t="s">
        <v>75</v>
      </c>
      <c r="I13" s="3">
        <v>1.61</v>
      </c>
      <c r="J13" s="3">
        <v>0.86</v>
      </c>
      <c r="K13" s="3">
        <f t="shared" si="0"/>
        <v>0.75</v>
      </c>
      <c r="L13" s="3">
        <v>0.02</v>
      </c>
      <c r="M13" s="3">
        <f t="shared" si="1"/>
        <v>0.73</v>
      </c>
      <c r="N13" s="3">
        <v>1450</v>
      </c>
      <c r="P13" s="3">
        <f t="shared" si="2"/>
        <v>1087.5</v>
      </c>
      <c r="Q13" s="3">
        <f t="shared" si="3"/>
        <v>1058.5</v>
      </c>
      <c r="R13" s="3">
        <f t="shared" si="4"/>
        <v>1050</v>
      </c>
      <c r="S13" s="3">
        <f t="shared" si="5"/>
        <v>1050</v>
      </c>
    </row>
    <row r="14" customHeight="1" spans="2:24">
      <c r="B14" s="20">
        <v>46150</v>
      </c>
      <c r="C14" s="3" t="s">
        <v>135</v>
      </c>
      <c r="D14" s="3" t="s">
        <v>136</v>
      </c>
      <c r="E14" s="3" t="s">
        <v>43</v>
      </c>
      <c r="F14" s="3" t="s">
        <v>75</v>
      </c>
      <c r="I14" s="3">
        <v>10.85</v>
      </c>
      <c r="J14" s="3">
        <v>5.02</v>
      </c>
      <c r="K14" s="3">
        <f t="shared" si="0"/>
        <v>5.83</v>
      </c>
      <c r="L14" s="3">
        <v>0.15</v>
      </c>
      <c r="M14" s="3">
        <f t="shared" si="1"/>
        <v>5.68</v>
      </c>
      <c r="N14" s="3">
        <v>1500</v>
      </c>
      <c r="P14" s="3">
        <f t="shared" si="2"/>
        <v>8745</v>
      </c>
      <c r="Q14" s="3">
        <f t="shared" si="3"/>
        <v>8520</v>
      </c>
      <c r="R14" s="3">
        <f t="shared" si="4"/>
        <v>8520</v>
      </c>
      <c r="S14" s="3">
        <f t="shared" si="5"/>
        <v>8520</v>
      </c>
    </row>
    <row r="15" customHeight="1" spans="2:24">
      <c r="B15" s="20">
        <v>46150</v>
      </c>
      <c r="C15" s="3" t="s">
        <v>106</v>
      </c>
      <c r="D15" s="21" t="s">
        <v>93</v>
      </c>
      <c r="E15" s="3" t="s">
        <v>37</v>
      </c>
      <c r="F15" s="3" t="s">
        <v>75</v>
      </c>
      <c r="I15" s="3">
        <v>1.77</v>
      </c>
      <c r="J15" s="3">
        <v>1.15</v>
      </c>
      <c r="K15" s="3">
        <f t="shared" si="0"/>
        <v>0.62</v>
      </c>
      <c r="L15" s="3">
        <v>0.01</v>
      </c>
      <c r="M15" s="3">
        <f t="shared" si="1"/>
        <v>0.61</v>
      </c>
      <c r="N15" s="3">
        <v>1800</v>
      </c>
      <c r="P15" s="3">
        <f t="shared" si="2"/>
        <v>1116</v>
      </c>
      <c r="Q15" s="3">
        <f t="shared" si="3"/>
        <v>1098</v>
      </c>
      <c r="R15" s="3">
        <f t="shared" si="4"/>
        <v>1090</v>
      </c>
      <c r="S15" s="3">
        <f t="shared" si="5"/>
        <v>1090</v>
      </c>
    </row>
    <row r="16" customHeight="1" spans="2:24">
      <c r="B16" s="20">
        <v>46150</v>
      </c>
      <c r="C16" s="3" t="s">
        <v>106</v>
      </c>
      <c r="D16" s="21" t="s">
        <v>93</v>
      </c>
      <c r="E16" s="3" t="s">
        <v>37</v>
      </c>
      <c r="F16" s="3" t="s">
        <v>75</v>
      </c>
      <c r="I16" s="3">
        <v>1.54</v>
      </c>
      <c r="J16" s="3">
        <v>1.15</v>
      </c>
      <c r="K16" s="3">
        <f t="shared" si="0"/>
        <v>0.39</v>
      </c>
      <c r="L16" s="3">
        <v>0</v>
      </c>
      <c r="M16" s="3">
        <f t="shared" si="1"/>
        <v>0.39</v>
      </c>
      <c r="N16" s="3">
        <v>1800</v>
      </c>
      <c r="P16" s="3">
        <f t="shared" si="2"/>
        <v>702</v>
      </c>
      <c r="Q16" s="3">
        <f t="shared" si="3"/>
        <v>702</v>
      </c>
      <c r="R16" s="3">
        <f t="shared" si="4"/>
        <v>700</v>
      </c>
      <c r="S16" s="3">
        <f t="shared" si="5"/>
        <v>700</v>
      </c>
    </row>
    <row r="17" customHeight="1" spans="2:19">
      <c r="B17" s="20">
        <v>46155</v>
      </c>
      <c r="C17" s="3" t="s">
        <v>24</v>
      </c>
      <c r="D17" s="3" t="s">
        <v>25</v>
      </c>
      <c r="E17" s="3" t="s">
        <v>26</v>
      </c>
      <c r="F17" s="3" t="s">
        <v>27</v>
      </c>
      <c r="I17" s="3">
        <v>3.53</v>
      </c>
      <c r="J17" s="3">
        <v>2.59</v>
      </c>
      <c r="K17" s="3">
        <f t="shared" si="0"/>
        <v>0.94</v>
      </c>
      <c r="L17" s="3">
        <v>0.02</v>
      </c>
      <c r="M17" s="3">
        <f t="shared" si="1"/>
        <v>0.92</v>
      </c>
      <c r="N17" s="3">
        <v>1450</v>
      </c>
      <c r="P17" s="3">
        <f t="shared" si="2"/>
        <v>1363</v>
      </c>
      <c r="Q17" s="3">
        <f t="shared" si="3"/>
        <v>1334</v>
      </c>
      <c r="R17" s="3">
        <f t="shared" si="4"/>
        <v>1330</v>
      </c>
      <c r="S17" s="3">
        <f t="shared" si="5"/>
        <v>1330</v>
      </c>
    </row>
    <row r="18" customHeight="1" spans="2:19">
      <c r="B18" s="20">
        <v>46155</v>
      </c>
      <c r="C18" s="3" t="s">
        <v>135</v>
      </c>
      <c r="D18" s="3" t="s">
        <v>136</v>
      </c>
      <c r="E18" s="3" t="s">
        <v>43</v>
      </c>
      <c r="F18" s="3" t="s">
        <v>75</v>
      </c>
      <c r="I18" s="3">
        <v>9.75</v>
      </c>
      <c r="J18" s="3">
        <v>5.09</v>
      </c>
      <c r="K18" s="3">
        <f t="shared" si="0"/>
        <v>4.66</v>
      </c>
      <c r="L18" s="3">
        <v>0.15</v>
      </c>
      <c r="M18" s="3">
        <f t="shared" si="1"/>
        <v>4.51</v>
      </c>
      <c r="N18" s="3">
        <v>1500</v>
      </c>
      <c r="P18" s="3">
        <f t="shared" si="2"/>
        <v>6990</v>
      </c>
      <c r="Q18" s="3">
        <f t="shared" si="3"/>
        <v>6765</v>
      </c>
      <c r="R18" s="3">
        <f t="shared" si="4"/>
        <v>6760</v>
      </c>
      <c r="S18" s="3">
        <f t="shared" si="5"/>
        <v>6760</v>
      </c>
    </row>
    <row r="19" customHeight="1" spans="2:19">
      <c r="B19" s="20">
        <v>46155</v>
      </c>
      <c r="C19" s="3" t="s">
        <v>181</v>
      </c>
      <c r="D19" s="3" t="s">
        <v>182</v>
      </c>
      <c r="E19" s="3" t="s">
        <v>147</v>
      </c>
      <c r="F19" s="3" t="s">
        <v>27</v>
      </c>
      <c r="I19" s="3">
        <v>2.6</v>
      </c>
      <c r="J19" s="3">
        <v>0</v>
      </c>
      <c r="K19" s="3">
        <f t="shared" ref="K19:K26" si="6">I19-J19</f>
        <v>2.6</v>
      </c>
      <c r="L19" s="3">
        <v>0.02</v>
      </c>
      <c r="M19" s="3">
        <f t="shared" ref="M19:M26" si="7">K19-L19</f>
        <v>2.58</v>
      </c>
      <c r="N19" s="3">
        <v>1970</v>
      </c>
      <c r="P19" s="3">
        <f t="shared" ref="P19:P26" si="8">K19*N19</f>
        <v>5122</v>
      </c>
      <c r="Q19" s="3">
        <f t="shared" ref="Q19:Q26" si="9">M19*N19</f>
        <v>5082.6</v>
      </c>
      <c r="R19" s="3">
        <f t="shared" ref="R19:R26" si="10">ROUNDDOWN(M19*N19,-1)</f>
        <v>5080</v>
      </c>
      <c r="S19" s="3">
        <f t="shared" ref="S19:S26" si="11">ROUNDDOWN(M19*N19+O19,-1)</f>
        <v>5080</v>
      </c>
    </row>
    <row r="20" customHeight="1" spans="2:19">
      <c r="B20" s="20">
        <v>46162</v>
      </c>
      <c r="C20" s="3" t="s">
        <v>149</v>
      </c>
      <c r="D20" s="3" t="s">
        <v>150</v>
      </c>
      <c r="E20" s="3" t="s">
        <v>43</v>
      </c>
      <c r="F20" s="3" t="s">
        <v>75</v>
      </c>
      <c r="I20" s="3">
        <v>7.46</v>
      </c>
      <c r="J20" s="3">
        <v>4.06</v>
      </c>
      <c r="K20" s="3">
        <f t="shared" si="6"/>
        <v>3.4</v>
      </c>
      <c r="L20" s="3">
        <v>0.03</v>
      </c>
      <c r="M20" s="3">
        <f t="shared" si="7"/>
        <v>3.37</v>
      </c>
      <c r="N20" s="3">
        <v>1600</v>
      </c>
      <c r="P20" s="3">
        <f t="shared" si="8"/>
        <v>5440</v>
      </c>
      <c r="Q20" s="3">
        <f t="shared" si="9"/>
        <v>5392</v>
      </c>
      <c r="R20" s="3">
        <f t="shared" si="10"/>
        <v>5390</v>
      </c>
      <c r="S20" s="3">
        <f t="shared" si="11"/>
        <v>5390</v>
      </c>
    </row>
    <row r="21" customHeight="1" spans="2:19">
      <c r="K21" s="3">
        <f t="shared" si="6"/>
        <v>0</v>
      </c>
      <c r="M21" s="3">
        <f t="shared" si="7"/>
        <v>0</v>
      </c>
      <c r="P21" s="3">
        <f t="shared" si="8"/>
        <v>0</v>
      </c>
      <c r="Q21" s="3">
        <f t="shared" si="9"/>
        <v>0</v>
      </c>
      <c r="R21" s="3">
        <f t="shared" si="10"/>
        <v>0</v>
      </c>
      <c r="S21" s="3">
        <f t="shared" si="11"/>
        <v>0</v>
      </c>
    </row>
    <row r="22" customHeight="1" spans="2:19">
      <c r="K22" s="3">
        <f t="shared" si="6"/>
        <v>0</v>
      </c>
      <c r="M22" s="3">
        <f t="shared" si="7"/>
        <v>0</v>
      </c>
      <c r="P22" s="3">
        <f t="shared" si="8"/>
        <v>0</v>
      </c>
      <c r="Q22" s="3">
        <f t="shared" si="9"/>
        <v>0</v>
      </c>
      <c r="R22" s="3">
        <f t="shared" si="10"/>
        <v>0</v>
      </c>
      <c r="S22" s="3">
        <f t="shared" si="11"/>
        <v>0</v>
      </c>
    </row>
    <row r="23" customHeight="1" spans="2:19">
      <c r="K23" s="3">
        <f t="shared" si="6"/>
        <v>0</v>
      </c>
      <c r="M23" s="3">
        <f t="shared" si="7"/>
        <v>0</v>
      </c>
      <c r="P23" s="3">
        <f t="shared" si="8"/>
        <v>0</v>
      </c>
      <c r="Q23" s="3">
        <f t="shared" si="9"/>
        <v>0</v>
      </c>
      <c r="R23" s="3">
        <f t="shared" si="10"/>
        <v>0</v>
      </c>
      <c r="S23" s="3">
        <f t="shared" si="11"/>
        <v>0</v>
      </c>
    </row>
    <row r="24" customHeight="1" spans="2:19">
      <c r="K24" s="3">
        <f t="shared" si="6"/>
        <v>0</v>
      </c>
      <c r="M24" s="3">
        <f t="shared" si="7"/>
        <v>0</v>
      </c>
      <c r="P24" s="3">
        <f t="shared" si="8"/>
        <v>0</v>
      </c>
      <c r="Q24" s="3">
        <f t="shared" si="9"/>
        <v>0</v>
      </c>
      <c r="R24" s="3">
        <f t="shared" si="10"/>
        <v>0</v>
      </c>
      <c r="S24" s="3">
        <f t="shared" si="11"/>
        <v>0</v>
      </c>
    </row>
    <row r="25" customHeight="1" spans="2:19">
      <c r="K25" s="3">
        <f t="shared" si="6"/>
        <v>0</v>
      </c>
      <c r="M25" s="3">
        <f t="shared" si="7"/>
        <v>0</v>
      </c>
      <c r="P25" s="3">
        <f t="shared" si="8"/>
        <v>0</v>
      </c>
      <c r="Q25" s="3">
        <f t="shared" si="9"/>
        <v>0</v>
      </c>
      <c r="R25" s="3">
        <f t="shared" si="10"/>
        <v>0</v>
      </c>
      <c r="S25" s="3">
        <f t="shared" si="11"/>
        <v>0</v>
      </c>
    </row>
    <row r="26" customHeight="1" spans="2:19">
      <c r="K26" s="3">
        <f t="shared" si="6"/>
        <v>0</v>
      </c>
      <c r="M26" s="3">
        <f t="shared" si="7"/>
        <v>0</v>
      </c>
      <c r="P26" s="3">
        <f t="shared" si="8"/>
        <v>0</v>
      </c>
      <c r="Q26" s="3">
        <f t="shared" si="9"/>
        <v>0</v>
      </c>
      <c r="R26" s="3">
        <f t="shared" si="10"/>
        <v>0</v>
      </c>
      <c r="S26" s="3">
        <f t="shared" si="11"/>
        <v>0</v>
      </c>
    </row>
    <row r="27" customHeight="1" spans="2:19">
      <c r="K27" s="3">
        <f t="shared" ref="K27:K33" si="12">I27-J27</f>
        <v>0</v>
      </c>
      <c r="M27" s="3">
        <f t="shared" ref="M27:M33" si="13">K27-L27</f>
        <v>0</v>
      </c>
      <c r="P27" s="3">
        <f t="shared" ref="P27:P33" si="14">K27*N27</f>
        <v>0</v>
      </c>
      <c r="Q27" s="3">
        <f t="shared" ref="Q27:Q33" si="15">M27*N27</f>
        <v>0</v>
      </c>
      <c r="R27" s="3">
        <f t="shared" ref="R27:R33" si="16">ROUNDDOWN(M27*N27,-1)</f>
        <v>0</v>
      </c>
      <c r="S27" s="3">
        <f t="shared" ref="S27:S33" si="17">ROUNDDOWN(M27*N27+O27,-1)</f>
        <v>0</v>
      </c>
    </row>
    <row r="28" customHeight="1" spans="2:19">
      <c r="K28" s="3">
        <f t="shared" si="12"/>
        <v>0</v>
      </c>
      <c r="M28" s="3">
        <f t="shared" si="13"/>
        <v>0</v>
      </c>
      <c r="P28" s="3">
        <f t="shared" si="14"/>
        <v>0</v>
      </c>
      <c r="Q28" s="3">
        <f t="shared" si="15"/>
        <v>0</v>
      </c>
      <c r="R28" s="3">
        <f t="shared" si="16"/>
        <v>0</v>
      </c>
      <c r="S28" s="3">
        <f t="shared" si="17"/>
        <v>0</v>
      </c>
    </row>
    <row r="29" customHeight="1" spans="2:19">
      <c r="K29" s="3">
        <f t="shared" si="12"/>
        <v>0</v>
      </c>
      <c r="M29" s="3">
        <f t="shared" si="13"/>
        <v>0</v>
      </c>
      <c r="P29" s="3">
        <f t="shared" si="14"/>
        <v>0</v>
      </c>
      <c r="Q29" s="3">
        <f t="shared" si="15"/>
        <v>0</v>
      </c>
      <c r="R29" s="3">
        <f t="shared" si="16"/>
        <v>0</v>
      </c>
      <c r="S29" s="3">
        <f t="shared" si="17"/>
        <v>0</v>
      </c>
    </row>
    <row r="30" customHeight="1" spans="2:19">
      <c r="K30" s="3">
        <f t="shared" si="12"/>
        <v>0</v>
      </c>
      <c r="M30" s="3">
        <f t="shared" si="13"/>
        <v>0</v>
      </c>
      <c r="P30" s="3">
        <f t="shared" si="14"/>
        <v>0</v>
      </c>
      <c r="Q30" s="3">
        <f t="shared" si="15"/>
        <v>0</v>
      </c>
      <c r="R30" s="3">
        <f t="shared" si="16"/>
        <v>0</v>
      </c>
      <c r="S30" s="3">
        <f t="shared" si="17"/>
        <v>0</v>
      </c>
    </row>
    <row r="31" customHeight="1" spans="2:19">
      <c r="K31" s="3">
        <f t="shared" si="12"/>
        <v>0</v>
      </c>
      <c r="M31" s="3">
        <f t="shared" si="13"/>
        <v>0</v>
      </c>
      <c r="P31" s="3">
        <f t="shared" si="14"/>
        <v>0</v>
      </c>
      <c r="Q31" s="3">
        <f t="shared" si="15"/>
        <v>0</v>
      </c>
      <c r="R31" s="3">
        <f t="shared" si="16"/>
        <v>0</v>
      </c>
      <c r="S31" s="3">
        <f t="shared" si="17"/>
        <v>0</v>
      </c>
    </row>
    <row r="32" customHeight="1" spans="2:19">
      <c r="K32" s="3">
        <f t="shared" si="12"/>
        <v>0</v>
      </c>
      <c r="M32" s="3">
        <f t="shared" si="13"/>
        <v>0</v>
      </c>
      <c r="P32" s="3">
        <f t="shared" si="14"/>
        <v>0</v>
      </c>
      <c r="Q32" s="3">
        <f t="shared" si="15"/>
        <v>0</v>
      </c>
      <c r="R32" s="3">
        <f t="shared" si="16"/>
        <v>0</v>
      </c>
      <c r="S32" s="3">
        <f t="shared" si="17"/>
        <v>0</v>
      </c>
    </row>
    <row r="33" customHeight="1" spans="11:19">
      <c r="K33" s="3">
        <f t="shared" si="12"/>
        <v>0</v>
      </c>
      <c r="M33" s="3">
        <f t="shared" si="13"/>
        <v>0</v>
      </c>
      <c r="P33" s="3">
        <f t="shared" si="14"/>
        <v>0</v>
      </c>
      <c r="Q33" s="3">
        <f t="shared" si="15"/>
        <v>0</v>
      </c>
      <c r="R33" s="3">
        <f t="shared" si="16"/>
        <v>0</v>
      </c>
      <c r="S33" s="3">
        <f t="shared" si="17"/>
        <v>0</v>
      </c>
    </row>
    <row r="34" s="2" customFormat="1" customHeight="1" spans="11:19">
      <c r="K34" s="2">
        <f>SUBTOTAL(9,K4:K33)</f>
        <v>142.41</v>
      </c>
      <c r="L34" s="2">
        <f t="shared" ref="L34:S34" si="18">SUBTOTAL(9,L4:L33)</f>
        <v>8.94</v>
      </c>
      <c r="M34" s="2">
        <f t="shared" si="18"/>
        <v>133.47</v>
      </c>
      <c r="O34" s="2">
        <f t="shared" si="18"/>
        <v>8680</v>
      </c>
      <c r="P34" s="2">
        <f t="shared" si="18"/>
        <v>242245.8</v>
      </c>
      <c r="Q34" s="2">
        <f t="shared" si="18"/>
        <v>228558.6</v>
      </c>
      <c r="R34" s="2">
        <f t="shared" si="18"/>
        <v>240300</v>
      </c>
      <c r="S34" s="2">
        <f t="shared" si="18"/>
        <v>248980</v>
      </c>
    </row>
  </sheetData>
  <autoFilter xmlns:etc="http://www.wps.cn/officeDocument/2017/etCustomData" ref="B3:X33" etc:filterBottomFollowUsedRange="0">
    <extLst/>
  </autoFilter>
  <mergeCells count="2">
    <mergeCell ref="B2:H2"/>
    <mergeCell ref="I2:M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1月</vt:lpstr>
      <vt:lpstr>2月</vt:lpstr>
      <vt:lpstr>3月</vt:lpstr>
      <vt:lpstr>4月</vt:lpstr>
      <vt:lpstr>5月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太阳</cp:lastModifiedBy>
  <dcterms:created xsi:type="dcterms:W3CDTF">2026-01-04T20:41:00Z</dcterms:created>
  <dcterms:modified xsi:type="dcterms:W3CDTF">2026-05-21T08:34:38Z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4D79F0042EF34329967952169D7CEEC9_11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